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sarashan/Documents/Models/"/>
    </mc:Choice>
  </mc:AlternateContent>
  <xr:revisionPtr revIDLastSave="0" documentId="13_ncr:1_{E5C96E84-4B8F-594D-BF38-2103AF68CD3E}" xr6:coauthVersionLast="47" xr6:coauthVersionMax="47" xr10:uidLastSave="{00000000-0000-0000-0000-000000000000}"/>
  <workbookProtection workbookAlgorithmName="SHA-512" workbookHashValue="zir/Zmdktf3QWFWMUzGqXCR2oFnr9pXYUR85XK0ZFmLZMn/I2ToRj2njgry1uWsjW/ptLBA+N/GgtiA4rD0pAg==" workbookSaltValue="uj8B0S0yJgpADu3555oSYA==" workbookSpinCount="100000" lockStructure="1"/>
  <bookViews>
    <workbookView xWindow="0" yWindow="500" windowWidth="28800" windowHeight="15800" xr2:uid="{00000000-000D-0000-FFFF-FFFF00000000}"/>
  </bookViews>
  <sheets>
    <sheet name="Contents" sheetId="6" r:id="rId1"/>
    <sheet name="Output&gt;&gt;" sheetId="7" r:id="rId2"/>
    <sheet name="o_Dashboard" sheetId="13" r:id="rId3"/>
    <sheet name="o_Valuation" sheetId="5" r:id="rId4"/>
    <sheet name="o_FS" sheetId="11" r:id="rId5"/>
    <sheet name="Calcs&gt;&gt;" sheetId="9" r:id="rId6"/>
    <sheet name="c_FS" sheetId="4" r:id="rId7"/>
    <sheet name="Input&gt;&gt;" sheetId="8" r:id="rId8"/>
    <sheet name="i_Inputs" sheetId="3" r:id="rId9"/>
    <sheet name="i_Historical" sheetId="2" r:id="rId10"/>
  </sheets>
  <definedNames>
    <definedName name="_xlnm.Print_Area" localSheetId="2">o_Dashboard!$A$1:$H$64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 i="5" l="1"/>
  <c r="B62" i="5"/>
  <c r="I5" i="2"/>
  <c r="H5" i="2"/>
  <c r="G5" i="2"/>
  <c r="F5" i="2"/>
  <c r="E5" i="2"/>
  <c r="G61" i="5"/>
  <c r="F61" i="5" s="1"/>
  <c r="C47" i="5"/>
  <c r="B47" i="5"/>
  <c r="D47" i="5"/>
  <c r="D10" i="5"/>
  <c r="D9" i="5"/>
  <c r="D8" i="5"/>
  <c r="A2" i="13"/>
  <c r="A1" i="13"/>
  <c r="B7" i="13"/>
  <c r="B34" i="13"/>
  <c r="C38" i="13"/>
  <c r="C42" i="13"/>
  <c r="D58" i="3"/>
  <c r="C35" i="13"/>
  <c r="C34" i="13"/>
  <c r="C33" i="13"/>
  <c r="C32" i="13"/>
  <c r="C31" i="13"/>
  <c r="C30" i="13"/>
  <c r="C29" i="13"/>
  <c r="B35" i="13"/>
  <c r="B33" i="13"/>
  <c r="B32" i="13"/>
  <c r="B31" i="13"/>
  <c r="B30" i="13"/>
  <c r="B29" i="13"/>
  <c r="B26" i="13"/>
  <c r="B25" i="13"/>
  <c r="B24" i="13"/>
  <c r="B23" i="13"/>
  <c r="B22" i="13"/>
  <c r="B21" i="13"/>
  <c r="B20" i="13"/>
  <c r="B19" i="13"/>
  <c r="B18" i="13"/>
  <c r="B17" i="13"/>
  <c r="B10" i="13"/>
  <c r="I61" i="5" l="1"/>
  <c r="E61" i="5"/>
  <c r="H61" i="5"/>
  <c r="E5" i="3"/>
  <c r="E5" i="4" s="1"/>
  <c r="F5" i="3"/>
  <c r="F5" i="4" s="1"/>
  <c r="G5" i="3"/>
  <c r="G5" i="4" s="1"/>
  <c r="H5" i="3"/>
  <c r="H5" i="4" s="1"/>
  <c r="I5" i="3"/>
  <c r="I5" i="4" s="1"/>
  <c r="I4" i="3"/>
  <c r="I4" i="4" s="1"/>
  <c r="I4" i="11" s="1"/>
  <c r="H4" i="3"/>
  <c r="H4" i="4" s="1"/>
  <c r="H4" i="11" s="1"/>
  <c r="G4" i="3"/>
  <c r="G4" i="4" s="1"/>
  <c r="G4" i="11" s="1"/>
  <c r="F4" i="3"/>
  <c r="F4" i="4" s="1"/>
  <c r="F4" i="11" s="1"/>
  <c r="E4" i="3"/>
  <c r="E4" i="4" s="1"/>
  <c r="E4" i="11" s="1"/>
  <c r="I45" i="2"/>
  <c r="H45" i="2"/>
  <c r="G45" i="2"/>
  <c r="I42" i="2"/>
  <c r="H42" i="2"/>
  <c r="G42" i="2"/>
  <c r="I35" i="2"/>
  <c r="H35" i="2"/>
  <c r="G35" i="2"/>
  <c r="I32" i="2"/>
  <c r="H32" i="2"/>
  <c r="G32" i="2"/>
  <c r="L48" i="2"/>
  <c r="F35" i="2"/>
  <c r="E35" i="2"/>
  <c r="K34" i="2"/>
  <c r="L34" i="2" s="1"/>
  <c r="D52" i="5"/>
  <c r="D40" i="5"/>
  <c r="D34" i="5"/>
  <c r="D28" i="5"/>
  <c r="D26" i="5"/>
  <c r="D25" i="5"/>
  <c r="D24" i="5"/>
  <c r="D52" i="4"/>
  <c r="E48" i="4" s="1"/>
  <c r="E55" i="4" s="1"/>
  <c r="D46" i="4"/>
  <c r="E43" i="4" s="1"/>
  <c r="F45" i="2"/>
  <c r="E45" i="2"/>
  <c r="D39" i="11"/>
  <c r="E37" i="11" s="1"/>
  <c r="I23" i="11"/>
  <c r="H23" i="11"/>
  <c r="G23" i="11"/>
  <c r="E12" i="4"/>
  <c r="C18" i="13" s="1"/>
  <c r="D39" i="4"/>
  <c r="E35" i="4" s="1"/>
  <c r="F42" i="2"/>
  <c r="E42" i="2"/>
  <c r="F32" i="2"/>
  <c r="E32" i="2"/>
  <c r="D30" i="4"/>
  <c r="K38" i="2"/>
  <c r="L38" i="2" s="1"/>
  <c r="K31" i="2"/>
  <c r="L31" i="2" s="1"/>
  <c r="A2" i="5"/>
  <c r="A1" i="5"/>
  <c r="A2" i="11"/>
  <c r="A1" i="11"/>
  <c r="A2" i="4"/>
  <c r="A1" i="4"/>
  <c r="A2" i="3"/>
  <c r="A1" i="3"/>
  <c r="A2" i="2"/>
  <c r="A1" i="2"/>
  <c r="F25" i="11"/>
  <c r="E25" i="11"/>
  <c r="F23" i="11"/>
  <c r="E23" i="11"/>
  <c r="K36" i="2"/>
  <c r="L36" i="2" s="1"/>
  <c r="K55" i="2"/>
  <c r="L55" i="2" s="1"/>
  <c r="K49" i="2"/>
  <c r="L49" i="2" s="1"/>
  <c r="K48" i="2"/>
  <c r="K47" i="2"/>
  <c r="L47" i="2" s="1"/>
  <c r="K44" i="2"/>
  <c r="L44" i="2" s="1"/>
  <c r="K43" i="2"/>
  <c r="L43" i="2" s="1"/>
  <c r="K41" i="2"/>
  <c r="L41" i="2" s="1"/>
  <c r="K40" i="2"/>
  <c r="L40" i="2" s="1"/>
  <c r="K39" i="2"/>
  <c r="L39" i="2" s="1"/>
  <c r="K37" i="2"/>
  <c r="L37" i="2" s="1"/>
  <c r="K33" i="2"/>
  <c r="L33" i="2" s="1"/>
  <c r="D15" i="13" l="1"/>
  <c r="F4" i="5"/>
  <c r="E15" i="13"/>
  <c r="G4" i="5"/>
  <c r="F15" i="13"/>
  <c r="H4" i="5"/>
  <c r="C15" i="13"/>
  <c r="E4" i="5"/>
  <c r="G15" i="13"/>
  <c r="I4" i="5"/>
  <c r="A45" i="2"/>
  <c r="E38" i="11"/>
  <c r="E39" i="11" s="1"/>
  <c r="C25" i="13" s="1"/>
  <c r="F44" i="4"/>
  <c r="F58" i="4"/>
  <c r="F22" i="11" s="1"/>
  <c r="I5" i="11"/>
  <c r="I44" i="4"/>
  <c r="I45" i="4"/>
  <c r="H5" i="11"/>
  <c r="H45" i="4"/>
  <c r="H44" i="4"/>
  <c r="E44" i="4"/>
  <c r="E45" i="4" s="1"/>
  <c r="E46" i="4" s="1"/>
  <c r="E40" i="11" s="1"/>
  <c r="G45" i="4"/>
  <c r="G44" i="4"/>
  <c r="G36" i="4"/>
  <c r="G33" i="11" s="1"/>
  <c r="G5" i="11"/>
  <c r="G38" i="4"/>
  <c r="G49" i="4" s="1"/>
  <c r="F22" i="4"/>
  <c r="F16" i="11" s="1"/>
  <c r="F18" i="4"/>
  <c r="F12" i="11" s="1"/>
  <c r="F8" i="4"/>
  <c r="G8" i="4" s="1"/>
  <c r="H8" i="4" s="1"/>
  <c r="I8" i="4" s="1"/>
  <c r="F37" i="4"/>
  <c r="F19" i="11" s="1"/>
  <c r="F32" i="11" s="1"/>
  <c r="F20" i="4"/>
  <c r="F14" i="11" s="1"/>
  <c r="F9" i="4"/>
  <c r="G9" i="4" s="1"/>
  <c r="H9" i="4" s="1"/>
  <c r="I9" i="4" s="1"/>
  <c r="F16" i="4"/>
  <c r="F9" i="11" s="1"/>
  <c r="F19" i="4"/>
  <c r="F13" i="11" s="1"/>
  <c r="F5" i="11"/>
  <c r="F29" i="4"/>
  <c r="F28" i="4"/>
  <c r="F36" i="4"/>
  <c r="F33" i="11" s="1"/>
  <c r="F21" i="4"/>
  <c r="F15" i="11" s="1"/>
  <c r="F10" i="4"/>
  <c r="G10" i="4" s="1"/>
  <c r="H10" i="4" s="1"/>
  <c r="I10" i="4" s="1"/>
  <c r="E5" i="11"/>
  <c r="E37" i="4"/>
  <c r="E19" i="11" s="1"/>
  <c r="E32" i="11" s="1"/>
  <c r="E10" i="4"/>
  <c r="E8" i="4"/>
  <c r="E36" i="4"/>
  <c r="E9" i="4"/>
  <c r="I36" i="4"/>
  <c r="I33" i="11" s="1"/>
  <c r="H38" i="4"/>
  <c r="H49" i="4" s="1"/>
  <c r="H36" i="4"/>
  <c r="H33" i="11" s="1"/>
  <c r="I38" i="4"/>
  <c r="I49" i="4" s="1"/>
  <c r="K35" i="2"/>
  <c r="L35" i="2" s="1"/>
  <c r="K32" i="2"/>
  <c r="L32" i="2" s="1"/>
  <c r="K42" i="2"/>
  <c r="L42" i="2" s="1"/>
  <c r="C16" i="13" l="1"/>
  <c r="E5" i="5"/>
  <c r="E12" i="5" s="1"/>
  <c r="E16" i="13"/>
  <c r="G5" i="5"/>
  <c r="G12" i="5" s="1"/>
  <c r="F16" i="13"/>
  <c r="H5" i="5"/>
  <c r="H12" i="5" s="1"/>
  <c r="D16" i="13"/>
  <c r="F5" i="5"/>
  <c r="F12" i="5" s="1"/>
  <c r="G16" i="13"/>
  <c r="I5" i="5"/>
  <c r="I12" i="5" s="1"/>
  <c r="F37" i="11"/>
  <c r="F38" i="11" s="1"/>
  <c r="F39" i="11" s="1"/>
  <c r="F43" i="11" s="1"/>
  <c r="E43" i="11"/>
  <c r="E54" i="4"/>
  <c r="E33" i="11"/>
  <c r="E38" i="4"/>
  <c r="E39" i="4" s="1"/>
  <c r="F23" i="4"/>
  <c r="K54" i="2"/>
  <c r="L54" i="2" s="1"/>
  <c r="K53" i="2"/>
  <c r="L53" i="2" s="1"/>
  <c r="K52" i="2"/>
  <c r="L52" i="2" s="1"/>
  <c r="K30" i="2"/>
  <c r="L30" i="2" s="1"/>
  <c r="K26" i="2"/>
  <c r="L26" i="2" s="1"/>
  <c r="K25" i="2"/>
  <c r="L25" i="2" s="1"/>
  <c r="K24" i="2"/>
  <c r="L24" i="2" s="1"/>
  <c r="K23" i="2"/>
  <c r="L23" i="2" s="1"/>
  <c r="K22" i="2"/>
  <c r="L22" i="2" s="1"/>
  <c r="K21" i="2"/>
  <c r="L21" i="2" s="1"/>
  <c r="K19" i="2"/>
  <c r="L19" i="2" s="1"/>
  <c r="K18" i="2"/>
  <c r="L18" i="2" s="1"/>
  <c r="K16" i="2"/>
  <c r="L16" i="2" s="1"/>
  <c r="K17" i="2"/>
  <c r="L17" i="2" s="1"/>
  <c r="K20" i="2"/>
  <c r="L20" i="2" s="1"/>
  <c r="K15" i="2"/>
  <c r="L15" i="2" s="1"/>
  <c r="K14" i="2"/>
  <c r="L14" i="2" s="1"/>
  <c r="K13" i="2"/>
  <c r="L13" i="2" s="1"/>
  <c r="K12" i="2"/>
  <c r="L12" i="2" s="1"/>
  <c r="K11" i="2"/>
  <c r="L11" i="2" s="1"/>
  <c r="K10" i="2"/>
  <c r="L10" i="2" s="1"/>
  <c r="F17" i="5" l="1"/>
  <c r="F13" i="5"/>
  <c r="H13" i="5"/>
  <c r="H17" i="5" s="1"/>
  <c r="G13" i="5"/>
  <c r="G17" i="5" s="1"/>
  <c r="I13" i="5"/>
  <c r="I17" i="5" s="1"/>
  <c r="E13" i="5"/>
  <c r="E17" i="5"/>
  <c r="G37" i="11"/>
  <c r="C39" i="13"/>
  <c r="D25" i="13"/>
  <c r="E49" i="4"/>
  <c r="F35" i="4"/>
  <c r="F30" i="4"/>
  <c r="E11" i="4"/>
  <c r="F11" i="4"/>
  <c r="F24" i="4" s="1"/>
  <c r="H11" i="4"/>
  <c r="I11" i="4"/>
  <c r="G11" i="4"/>
  <c r="E16" i="4" l="1"/>
  <c r="E20" i="4"/>
  <c r="E14" i="11" s="1"/>
  <c r="E22" i="4"/>
  <c r="E16" i="11" s="1"/>
  <c r="E18" i="4"/>
  <c r="E19" i="4"/>
  <c r="E13" i="11" s="1"/>
  <c r="E28" i="4"/>
  <c r="E21" i="4"/>
  <c r="E15" i="11" s="1"/>
  <c r="E14" i="5"/>
  <c r="G14" i="5"/>
  <c r="H14" i="5"/>
  <c r="F14" i="5"/>
  <c r="I14" i="5"/>
  <c r="I21" i="4"/>
  <c r="I28" i="4"/>
  <c r="I18" i="4"/>
  <c r="I16" i="4"/>
  <c r="I29" i="4" s="1"/>
  <c r="I20" i="4"/>
  <c r="I19" i="4"/>
  <c r="I22" i="4"/>
  <c r="I16" i="11" s="1"/>
  <c r="H28" i="4"/>
  <c r="H22" i="4"/>
  <c r="H16" i="11" s="1"/>
  <c r="H16" i="4"/>
  <c r="H29" i="4" s="1"/>
  <c r="H19" i="4"/>
  <c r="H18" i="4"/>
  <c r="H20" i="4"/>
  <c r="H21" i="4"/>
  <c r="G19" i="4"/>
  <c r="G21" i="4"/>
  <c r="G20" i="4"/>
  <c r="G22" i="4"/>
  <c r="G16" i="11" s="1"/>
  <c r="G28" i="4"/>
  <c r="G18" i="4"/>
  <c r="G16" i="4"/>
  <c r="G29" i="4" s="1"/>
  <c r="F38" i="4"/>
  <c r="F49" i="4" s="1"/>
  <c r="G12" i="4"/>
  <c r="E18" i="13" s="1"/>
  <c r="I12" i="4"/>
  <c r="G18" i="13" s="1"/>
  <c r="E8" i="11"/>
  <c r="F12" i="4"/>
  <c r="D18" i="13" s="1"/>
  <c r="H12" i="4"/>
  <c r="F18" i="13" s="1"/>
  <c r="H8" i="11"/>
  <c r="F17" i="13" s="1"/>
  <c r="G8" i="11"/>
  <c r="I8" i="11"/>
  <c r="G17" i="13" s="1"/>
  <c r="F8" i="11"/>
  <c r="F64" i="5" l="1"/>
  <c r="F62" i="5"/>
  <c r="F63" i="5"/>
  <c r="E12" i="11"/>
  <c r="E23" i="4"/>
  <c r="E24" i="4" s="1"/>
  <c r="E9" i="11"/>
  <c r="E10" i="11" s="1"/>
  <c r="E29" i="4"/>
  <c r="E30" i="4" s="1"/>
  <c r="E17" i="13"/>
  <c r="G64" i="5"/>
  <c r="D33" i="5"/>
  <c r="D35" i="5" s="1"/>
  <c r="D36" i="5" s="1"/>
  <c r="D37" i="5" s="1"/>
  <c r="G62" i="5"/>
  <c r="G63" i="5"/>
  <c r="I63" i="5"/>
  <c r="E62" i="5"/>
  <c r="E63" i="5"/>
  <c r="I62" i="5"/>
  <c r="E64" i="5"/>
  <c r="I64" i="5"/>
  <c r="H64" i="5"/>
  <c r="H62" i="5"/>
  <c r="H63" i="5"/>
  <c r="F10" i="11"/>
  <c r="F17" i="11" s="1"/>
  <c r="D22" i="13" s="1"/>
  <c r="D17" i="13"/>
  <c r="C17" i="13"/>
  <c r="F39" i="4"/>
  <c r="G35" i="4" s="1"/>
  <c r="G37" i="4" s="1"/>
  <c r="G14" i="11"/>
  <c r="G15" i="11"/>
  <c r="G13" i="11"/>
  <c r="H13" i="11"/>
  <c r="H14" i="11"/>
  <c r="H15" i="11"/>
  <c r="I15" i="11"/>
  <c r="I14" i="11"/>
  <c r="I13" i="11"/>
  <c r="I9" i="11"/>
  <c r="I10" i="11" s="1"/>
  <c r="E17" i="11" l="1"/>
  <c r="E20" i="11" s="1"/>
  <c r="E31" i="4"/>
  <c r="E34" i="11" s="1"/>
  <c r="F31" i="4"/>
  <c r="F34" i="11" s="1"/>
  <c r="F11" i="11"/>
  <c r="D19" i="13" s="1"/>
  <c r="E11" i="11"/>
  <c r="C19" i="13" s="1"/>
  <c r="E18" i="11"/>
  <c r="E21" i="11"/>
  <c r="C21" i="13" s="1"/>
  <c r="C20" i="13"/>
  <c r="E31" i="11"/>
  <c r="C22" i="13"/>
  <c r="G19" i="11"/>
  <c r="G12" i="11"/>
  <c r="G23" i="4"/>
  <c r="G24" i="4" s="1"/>
  <c r="H12" i="11"/>
  <c r="H23" i="4"/>
  <c r="H24" i="4" s="1"/>
  <c r="I12" i="11"/>
  <c r="I17" i="11" s="1"/>
  <c r="G22" i="13" s="1"/>
  <c r="I23" i="4"/>
  <c r="I24" i="4" s="1"/>
  <c r="H30" i="4"/>
  <c r="H9" i="11"/>
  <c r="H10" i="11" s="1"/>
  <c r="H11" i="11" s="1"/>
  <c r="F19" i="13" s="1"/>
  <c r="G30" i="4"/>
  <c r="G31" i="4" s="1"/>
  <c r="G34" i="11" s="1"/>
  <c r="G9" i="11"/>
  <c r="G10" i="11" s="1"/>
  <c r="I30" i="4"/>
  <c r="F31" i="11"/>
  <c r="F35" i="11" s="1"/>
  <c r="F24" i="11"/>
  <c r="F26" i="11" s="1"/>
  <c r="F18" i="11"/>
  <c r="F20" i="11"/>
  <c r="D20" i="13" s="1"/>
  <c r="E35" i="11" l="1"/>
  <c r="C24" i="13" s="1"/>
  <c r="D24" i="13"/>
  <c r="F16" i="5"/>
  <c r="F18" i="5" s="1"/>
  <c r="F27" i="11"/>
  <c r="D23" i="13"/>
  <c r="G39" i="4"/>
  <c r="H35" i="4" s="1"/>
  <c r="H37" i="4" s="1"/>
  <c r="F21" i="11"/>
  <c r="D21" i="13" s="1"/>
  <c r="G17" i="11"/>
  <c r="H17" i="11"/>
  <c r="G11" i="11"/>
  <c r="E19" i="13" s="1"/>
  <c r="I11" i="11"/>
  <c r="G19" i="13" s="1"/>
  <c r="I31" i="4"/>
  <c r="I34" i="11" s="1"/>
  <c r="H31" i="4"/>
  <c r="H34" i="11" s="1"/>
  <c r="E16" i="5" l="1"/>
  <c r="E18" i="5"/>
  <c r="G31" i="11"/>
  <c r="E22" i="13"/>
  <c r="H31" i="11"/>
  <c r="F22" i="13"/>
  <c r="H19" i="11"/>
  <c r="G18" i="11"/>
  <c r="H18" i="11"/>
  <c r="I18" i="11"/>
  <c r="I31" i="11"/>
  <c r="H39" i="4" l="1"/>
  <c r="I35" i="4" s="1"/>
  <c r="I37" i="4" s="1"/>
  <c r="H32" i="11"/>
  <c r="H35" i="11" s="1"/>
  <c r="H20" i="11"/>
  <c r="G32" i="11"/>
  <c r="G35" i="11" s="1"/>
  <c r="G20" i="11"/>
  <c r="D39" i="5" s="1"/>
  <c r="D41" i="5" s="1"/>
  <c r="D42" i="5" s="1"/>
  <c r="D43" i="5" s="1"/>
  <c r="E24" i="13" l="1"/>
  <c r="G16" i="5"/>
  <c r="F24" i="13"/>
  <c r="H16" i="5"/>
  <c r="H18" i="5" s="1"/>
  <c r="H21" i="11"/>
  <c r="F21" i="13" s="1"/>
  <c r="F20" i="13"/>
  <c r="G21" i="11"/>
  <c r="E21" i="13" s="1"/>
  <c r="E20" i="13"/>
  <c r="I19" i="11"/>
  <c r="G18" i="5" l="1"/>
  <c r="I39" i="4"/>
  <c r="I20" i="11"/>
  <c r="I32" i="11"/>
  <c r="I35" i="11" s="1"/>
  <c r="I16" i="5" s="1"/>
  <c r="I18" i="5" s="1"/>
  <c r="D20" i="5" l="1"/>
  <c r="D21" i="5" s="1"/>
  <c r="D22" i="5" s="1"/>
  <c r="D18" i="5"/>
  <c r="G24" i="13"/>
  <c r="I21" i="11"/>
  <c r="G21" i="13" s="1"/>
  <c r="G20" i="13"/>
  <c r="D23" i="5" l="1"/>
  <c r="D49" i="5" s="1"/>
  <c r="D50" i="5" s="1"/>
  <c r="F43" i="4"/>
  <c r="D27" i="5" l="1"/>
  <c r="D29" i="5" s="1"/>
  <c r="D55" i="5"/>
  <c r="B11" i="13"/>
  <c r="F45" i="4"/>
  <c r="F46" i="4" s="1"/>
  <c r="F54" i="4" s="1"/>
  <c r="D53" i="5"/>
  <c r="D56" i="5" l="1"/>
  <c r="B8" i="13" s="1"/>
  <c r="F40" i="11"/>
  <c r="C40" i="13" s="1"/>
  <c r="G43" i="4"/>
  <c r="G46" i="4" l="1"/>
  <c r="G54" i="4" s="1"/>
  <c r="G40" i="11" l="1"/>
  <c r="H43" i="4"/>
  <c r="H46" i="4" l="1"/>
  <c r="H54" i="4" s="1"/>
  <c r="H40" i="11" l="1"/>
  <c r="I43" i="4"/>
  <c r="I46" i="4" l="1"/>
  <c r="I40" i="11" l="1"/>
  <c r="I54" i="4"/>
  <c r="E56" i="4" l="1"/>
  <c r="E58" i="4" s="1"/>
  <c r="E22" i="11" s="1"/>
  <c r="E24" i="11" s="1"/>
  <c r="E26" i="11" s="1"/>
  <c r="E50" i="4"/>
  <c r="C23" i="13" l="1"/>
  <c r="E27" i="11"/>
  <c r="E51" i="4"/>
  <c r="E52" i="4" s="1"/>
  <c r="E41" i="11" l="1"/>
  <c r="E42" i="11" s="1"/>
  <c r="C26" i="13" s="1"/>
  <c r="F48" i="4"/>
  <c r="F55" i="4" l="1"/>
  <c r="F50" i="4" l="1"/>
  <c r="F56" i="4"/>
  <c r="F51" i="4" l="1"/>
  <c r="F52" i="4" s="1"/>
  <c r="I41" i="3" l="1"/>
  <c r="I51" i="4" s="1"/>
  <c r="H41" i="3"/>
  <c r="H51" i="4" s="1"/>
  <c r="G41" i="3"/>
  <c r="G51" i="4" s="1"/>
  <c r="G48" i="4"/>
  <c r="F41" i="11"/>
  <c r="C41" i="13" l="1"/>
  <c r="F42" i="11"/>
  <c r="D26" i="13" s="1"/>
  <c r="G55" i="4"/>
  <c r="G56" i="4" l="1"/>
  <c r="G58" i="4" s="1"/>
  <c r="G22" i="11" s="1"/>
  <c r="G50" i="4"/>
  <c r="G52" i="4" s="1"/>
  <c r="H48" i="4" l="1"/>
  <c r="G41" i="11"/>
  <c r="G24" i="11"/>
  <c r="G38" i="11"/>
  <c r="G39" i="11" s="1"/>
  <c r="G43" i="11" s="1"/>
  <c r="G25" i="11" l="1"/>
  <c r="G26" i="11" s="1"/>
  <c r="H37" i="11"/>
  <c r="E25" i="13"/>
  <c r="G42" i="11"/>
  <c r="E26" i="13" s="1"/>
  <c r="H55" i="4"/>
  <c r="E23" i="13" l="1"/>
  <c r="G27" i="11"/>
  <c r="H56" i="4"/>
  <c r="H58" i="4" s="1"/>
  <c r="H22" i="11" s="1"/>
  <c r="H50" i="4"/>
  <c r="H52" i="4" s="1"/>
  <c r="H41" i="11" l="1"/>
  <c r="I48" i="4"/>
  <c r="H24" i="11"/>
  <c r="H38" i="11"/>
  <c r="H39" i="11" s="1"/>
  <c r="I37" i="11" l="1"/>
  <c r="F25" i="13"/>
  <c r="H42" i="11"/>
  <c r="F26" i="13" s="1"/>
  <c r="H43" i="11"/>
  <c r="H25" i="11"/>
  <c r="H26" i="11" s="1"/>
  <c r="I55" i="4"/>
  <c r="H27" i="11" l="1"/>
  <c r="F23" i="13"/>
  <c r="I50" i="4"/>
  <c r="I52" i="4" s="1"/>
  <c r="I41" i="11" s="1"/>
  <c r="I56" i="4"/>
  <c r="I58" i="4" s="1"/>
  <c r="I22" i="11" s="1"/>
  <c r="I24" i="11" l="1"/>
  <c r="I38" i="11"/>
  <c r="I39" i="11" s="1"/>
  <c r="I43" i="11" l="1"/>
  <c r="G25" i="13"/>
  <c r="I42" i="11"/>
  <c r="G26" i="13" s="1"/>
  <c r="I25" i="11"/>
  <c r="I26" i="11" s="1"/>
  <c r="G23" i="13" l="1"/>
  <c r="I27" i="11"/>
</calcChain>
</file>

<file path=xl/sharedStrings.xml><?xml version="1.0" encoding="utf-8"?>
<sst xmlns="http://schemas.openxmlformats.org/spreadsheetml/2006/main" count="470" uniqueCount="281">
  <si>
    <t>Source Note</t>
  </si>
  <si>
    <t>Unit</t>
  </si>
  <si>
    <t>2024A</t>
  </si>
  <si>
    <t>2025A</t>
  </si>
  <si>
    <t>YoY Change (€)</t>
  </si>
  <si>
    <t>YoY Change (%)</t>
  </si>
  <si>
    <t>Ride-hailing revenue</t>
  </si>
  <si>
    <t>Note 17</t>
  </si>
  <si>
    <t>EUR '000</t>
  </si>
  <si>
    <t>Food &amp; goods delivery revenue</t>
  </si>
  <si>
    <t>Rental services revenue (Micromobility &amp; Drive)</t>
  </si>
  <si>
    <t>Total Sales Revenue</t>
  </si>
  <si>
    <t>Note 20</t>
  </si>
  <si>
    <t>Gross Profit</t>
  </si>
  <si>
    <t>P&amp;L</t>
  </si>
  <si>
    <t>Other operating income</t>
  </si>
  <si>
    <t>Note 18</t>
  </si>
  <si>
    <t>Research and development expenses</t>
  </si>
  <si>
    <t>Note 21</t>
  </si>
  <si>
    <t>Marketing expenses</t>
  </si>
  <si>
    <t>Note 22</t>
  </si>
  <si>
    <t>General and administrative expenses</t>
  </si>
  <si>
    <t>Note 23</t>
  </si>
  <si>
    <t>Other operating expenses</t>
  </si>
  <si>
    <t>Note 19</t>
  </si>
  <si>
    <t>Operating Profit / (Loss) (EBIT)</t>
  </si>
  <si>
    <t>Net financial expenses / income</t>
  </si>
  <si>
    <t>Note 26</t>
  </si>
  <si>
    <t>Change in fair value of financial instruments</t>
  </si>
  <si>
    <t>Note 13</t>
  </si>
  <si>
    <t>Profit / (loss) before tax</t>
  </si>
  <si>
    <t>Corporate income tax</t>
  </si>
  <si>
    <t>Note 27</t>
  </si>
  <si>
    <t>Net Profit / (Loss) for the period</t>
  </si>
  <si>
    <t>Balance Sheet &amp; Capitalization Actuals</t>
  </si>
  <si>
    <t>Cash and cash equivalents</t>
  </si>
  <si>
    <t>Note 5</t>
  </si>
  <si>
    <t>Total current assets</t>
  </si>
  <si>
    <t>Balance Sheet</t>
  </si>
  <si>
    <t>Total Assets</t>
  </si>
  <si>
    <t>Funded debt / convertible bonds</t>
  </si>
  <si>
    <t>Note 12</t>
  </si>
  <si>
    <t>Note 14</t>
  </si>
  <si>
    <t>Note 15</t>
  </si>
  <si>
    <t>Total Liabilities</t>
  </si>
  <si>
    <t>Total Equity</t>
  </si>
  <si>
    <t>Shares outstanding (registered)</t>
  </si>
  <si>
    <t>Note 16</t>
  </si>
  <si>
    <t>Thousands</t>
  </si>
  <si>
    <t>Unregistered shares from convertible bond conversion</t>
  </si>
  <si>
    <t>Total Share Count (Diluted)</t>
  </si>
  <si>
    <t>Cash Flow Highlights</t>
  </si>
  <si>
    <t>Operating cash flows</t>
  </si>
  <si>
    <t>Cash Flow</t>
  </si>
  <si>
    <t>Depreciation &amp; Amortization (Total)</t>
  </si>
  <si>
    <t>Note 8</t>
  </si>
  <si>
    <t>Undrawn Syndicated Credit Line</t>
  </si>
  <si>
    <t>Note 12.3</t>
  </si>
  <si>
    <t>%</t>
  </si>
  <si>
    <t>Mature platform equilibrium; AV pilot additions in EU</t>
  </si>
  <si>
    <t>Bolt Plus subscriber adoption (already &gt;20% GMV in core mkts)</t>
  </si>
  <si>
    <t>Micromobility tender wins (UK, London e-bikes, Brussels)</t>
  </si>
  <si>
    <t>Down from 36.6% in 2025 due to transport cost optimization</t>
  </si>
  <si>
    <t>Sustained tech talent density &amp; AV integration with Pony.ai</t>
  </si>
  <si>
    <t>Corporate overhead fixed cost operating leverage</t>
  </si>
  <si>
    <t>Consistent with historical 2025 net receivables (~€127M)</t>
  </si>
  <si>
    <t>Consistent with historical payment terms with fleet/suppliers</t>
  </si>
  <si>
    <t>Reflects 3-8 yr scooter life and 2-3 yr vehicle lease life</t>
  </si>
  <si>
    <t>Weighted Average Cost of Capital (WACC)</t>
  </si>
  <si>
    <t>Terminal Growth Rate (DCF)</t>
  </si>
  <si>
    <t>Target EV / Sales Multiple (Public Comps)</t>
  </si>
  <si>
    <t>x</t>
  </si>
  <si>
    <t>Uber trades at ~3.0x; Grab trades at ~2.7x forward revenue</t>
  </si>
  <si>
    <t>Target EV / EBITDA Multiple (Public Comps)</t>
  </si>
  <si>
    <t>Uber mature forward EBITDA trading band (14x - 18x)</t>
  </si>
  <si>
    <t>28.82M base + 2.40M converted loan shares (Note 16)</t>
  </si>
  <si>
    <t>IPO Underwriter Discount / Spread</t>
  </si>
  <si>
    <t>Standard European tech IPO syndication discount</t>
  </si>
  <si>
    <t>Target Primary Capital Raised at IPO</t>
  </si>
  <si>
    <t>Primary proceeds for 100k AV rollout &amp; M&amp;A warchest</t>
  </si>
  <si>
    <t>2026E</t>
  </si>
  <si>
    <t>2027E</t>
  </si>
  <si>
    <t>2028E</t>
  </si>
  <si>
    <t>Rental services revenue</t>
  </si>
  <si>
    <t>Sales revenue</t>
  </si>
  <si>
    <t xml:space="preserve">  Gross Margin %</t>
  </si>
  <si>
    <t>Receivable discounts &amp; write-offs</t>
  </si>
  <si>
    <t xml:space="preserve">  Operating Profit Margin %</t>
  </si>
  <si>
    <t>EBITDA</t>
  </si>
  <si>
    <t xml:space="preserve">  EBITDA Margin %</t>
  </si>
  <si>
    <t>Net financial income / (costs)</t>
  </si>
  <si>
    <t>Fair value adjustments &amp; other</t>
  </si>
  <si>
    <t>Profit / (Loss) Before Income Tax</t>
  </si>
  <si>
    <t>Corporate income tax expense</t>
  </si>
  <si>
    <t>Net Profit / (Loss) for the Period</t>
  </si>
  <si>
    <t xml:space="preserve">  Net Profit Margin %</t>
  </si>
  <si>
    <t>Trade and other receivables</t>
  </si>
  <si>
    <t>Trade and other payables</t>
  </si>
  <si>
    <t>Net Working Capital (NWC)</t>
  </si>
  <si>
    <t>NOPAT</t>
  </si>
  <si>
    <t>Free Cash Flow to Firm (FCFF)</t>
  </si>
  <si>
    <t>Net Cash / (Net Debt) Position</t>
  </si>
  <si>
    <t>Valuation Methodology / Metric</t>
  </si>
  <si>
    <t>Terminal Growth Rate (g)</t>
  </si>
  <si>
    <t>Terminal Value (Gordon Growth)</t>
  </si>
  <si>
    <t>Present Value of Terminal Value</t>
  </si>
  <si>
    <t>Enterprise Value (DCF Method)</t>
  </si>
  <si>
    <t>Less: 2025A Funded Loan Debt</t>
  </si>
  <si>
    <t>Less: 2025A Lease Obligations</t>
  </si>
  <si>
    <t>Implied Equity Value (DCF Method)</t>
  </si>
  <si>
    <t>Diluted Shares Outstanding</t>
  </si>
  <si>
    <t>Implied Share Price (DCF)</t>
  </si>
  <si>
    <t>EUR / Share</t>
  </si>
  <si>
    <t>EV / Sales Multiple Benchmark</t>
  </si>
  <si>
    <t>Implied Enterprise Value (EV / Sales)</t>
  </si>
  <si>
    <t>Implied Equity Value (EV / Sales)</t>
  </si>
  <si>
    <t>Implied Share Price (EV / Sales)</t>
  </si>
  <si>
    <t>EV / EBITDA Multiple Benchmark</t>
  </si>
  <si>
    <t>Implied Enterprise Value (EV / EBITDA)</t>
  </si>
  <si>
    <t>Implied Equity Value (EV / EBITDA)</t>
  </si>
  <si>
    <t>Implied Share Price (EV / EBITDA)</t>
  </si>
  <si>
    <t>Blended Target Pre-Money Enterprise Value</t>
  </si>
  <si>
    <t>Blended Target Pre-Money Equity Value</t>
  </si>
  <si>
    <t>Post-Money Target Equity Value</t>
  </si>
  <si>
    <t>Target Pre-Money Price per Share</t>
  </si>
  <si>
    <t>Target Price with 7% IPO Discount</t>
  </si>
  <si>
    <t>Revenue Growth Scenario</t>
  </si>
  <si>
    <t xml:space="preserve"> '</t>
  </si>
  <si>
    <t>Contents</t>
  </si>
  <si>
    <t>End of Worksheet</t>
  </si>
  <si>
    <t>Source: Bolt Technology OÜ Consolidated Annual Report 2025 (AS PricewaterhouseCoopers audit)</t>
  </si>
  <si>
    <t>Sensitivity Analysis: Implied IPO Share Price (EUR)</t>
  </si>
  <si>
    <t>Revenue Breakdown</t>
  </si>
  <si>
    <t>Free Cash Flow and Cash Balance</t>
  </si>
  <si>
    <t>DCF Valuation</t>
  </si>
  <si>
    <t>Comparable Company Analysis</t>
  </si>
  <si>
    <t>Pre-IPO Valuation Summary</t>
  </si>
  <si>
    <t>Consolidated Income Statement</t>
  </si>
  <si>
    <t>Income Statement</t>
  </si>
  <si>
    <t xml:space="preserve"> </t>
  </si>
  <si>
    <t>Grown Drivers</t>
  </si>
  <si>
    <t>Valuation and IPO Capital Market Assumptions</t>
  </si>
  <si>
    <t>G&amp;A</t>
  </si>
  <si>
    <t>PP&amp;E Capex</t>
  </si>
  <si>
    <t>EUR '000s</t>
  </si>
  <si>
    <t>Model Key</t>
  </si>
  <si>
    <t>COGS/ selling expenses</t>
  </si>
  <si>
    <t>Historical Consolidated Statement of Financial Position (click to follow source)</t>
  </si>
  <si>
    <t>Note 6</t>
  </si>
  <si>
    <t>Trade and other receivables and prepayments</t>
  </si>
  <si>
    <t>Note 11</t>
  </si>
  <si>
    <t>days</t>
  </si>
  <si>
    <t>Trade receivables</t>
  </si>
  <si>
    <t>Trade payables</t>
  </si>
  <si>
    <t>Working Capital Schedule</t>
  </si>
  <si>
    <t>COGS and Opex Breakdown</t>
  </si>
  <si>
    <t>Other current assets</t>
  </si>
  <si>
    <t>Other liabilities</t>
  </si>
  <si>
    <t>Other Assumptions</t>
  </si>
  <si>
    <t>(€55.0M/yr) to fund recurring micromobility fleet renewals (Note 8 notes an existing €15.7M purchase commitment)</t>
  </si>
  <si>
    <t>Consistent with historical 2025 other income</t>
  </si>
  <si>
    <t>Closing working capital balance as of 31.12.2023</t>
  </si>
  <si>
    <t>Closing PPE and ROU balance as of 31.12.2023</t>
  </si>
  <si>
    <t>Total Operating Costs</t>
  </si>
  <si>
    <t>Fixed Asset Schedule</t>
  </si>
  <si>
    <t>Effective corporate tax rate</t>
  </si>
  <si>
    <t>Food &amp; delivery</t>
  </si>
  <si>
    <t>Rental &amp; drive revenue</t>
  </si>
  <si>
    <t>PP&amp;E capex</t>
  </si>
  <si>
    <t>Bolt Technology OÜ Consolidated Annual Report 2024</t>
  </si>
  <si>
    <t>Marketing spend</t>
  </si>
  <si>
    <t>R&amp;D spend</t>
  </si>
  <si>
    <t>Closing cash balance as of 31.12.2023</t>
  </si>
  <si>
    <t>Cost of debt p.a</t>
  </si>
  <si>
    <t>Interest yield on cash p.a</t>
  </si>
  <si>
    <t>3-Month EURIBOR (~2.65%) + 175–250 bps margin</t>
  </si>
  <si>
    <t>Check</t>
  </si>
  <si>
    <t>Other non-recurring instruments</t>
  </si>
  <si>
    <t>Debt &amp; Financing Obligations</t>
  </si>
  <si>
    <t>COGS / selling expenses</t>
  </si>
  <si>
    <t>Working Capital &amp; Capex</t>
  </si>
  <si>
    <t>COGS &amp; Opex Assumptions (% of Revenue)</t>
  </si>
  <si>
    <t>Bolt had over €206M in money market funds (MMFs) and €134M in tier-1 bank accounts (rated Aa3/Baa1 by Moody’s) (Note 5)</t>
  </si>
  <si>
    <t>Effective incremental borrowing rate p.a</t>
  </si>
  <si>
    <t>Closing debt balance as of 31.12.2023</t>
  </si>
  <si>
    <t>Current is 46.2%; Opening post-expansion normalization</t>
  </si>
  <si>
    <t>Add: 2025A Cash and Cash Equivalents</t>
  </si>
  <si>
    <t>Add: capital expenditures</t>
  </si>
  <si>
    <t>Less: depreciation &amp; amortization</t>
  </si>
  <si>
    <t>Add: drawdowns</t>
  </si>
  <si>
    <t>Opening lease liabilities balance</t>
  </si>
  <si>
    <t>Closing lease liabilities balance</t>
  </si>
  <si>
    <t>Opening fixed assets (PP&amp;E + ROU)</t>
  </si>
  <si>
    <t>Closing fixed assets (PP&amp;E + ROU)</t>
  </si>
  <si>
    <t>Opening debt &amp; convertible bond balance</t>
  </si>
  <si>
    <t>Closing lease liabilities as of 31.12.2023</t>
  </si>
  <si>
    <t>Bolt Technology OÜ Consolidated Annual Report 2025</t>
  </si>
  <si>
    <t>Interest expense related to debt</t>
  </si>
  <si>
    <t>Interest expense related to lease liabilities</t>
  </si>
  <si>
    <t xml:space="preserve">Total interest expense </t>
  </si>
  <si>
    <t>Add: lease interest accretion</t>
  </si>
  <si>
    <t>Lease cash payments</t>
  </si>
  <si>
    <t>Add: ROU fleet additions / other lease movements</t>
  </si>
  <si>
    <t>Less: lease cash payments</t>
  </si>
  <si>
    <t>Cash roll-forward check</t>
  </si>
  <si>
    <t>Note 8 &amp; 9</t>
  </si>
  <si>
    <t>Other non-current assets</t>
  </si>
  <si>
    <t>Total non-current assets</t>
  </si>
  <si>
    <t>Fixed asset (PPE + ROU)</t>
  </si>
  <si>
    <t xml:space="preserve">  YoY revenue growth rate (%)</t>
  </si>
  <si>
    <t>Change in net working capital (ΔNWC)</t>
  </si>
  <si>
    <t>ROU fleet additions / other fixed asset movements</t>
  </si>
  <si>
    <t>Historical periods solve for other fixed-asset movements so the roll-forward ties to audited closing PP&amp;E + ROU. Forecast periods use the explicit ROU-additions control input.</t>
  </si>
  <si>
    <t>Add: ROU fleet additions / other fixed asset movements</t>
  </si>
  <si>
    <t>Lease obligations (current + non-current)</t>
  </si>
  <si>
    <t>Balance sheet provisions (legal + tax)</t>
  </si>
  <si>
    <t>% of sales revenue</t>
  </si>
  <si>
    <t>Less: repayments / derecognition via equity conversion</t>
  </si>
  <si>
    <t>Closing debt balance</t>
  </si>
  <si>
    <t>Net debt drawdown / (repayment)</t>
  </si>
  <si>
    <t>Benchmark / Notes</t>
  </si>
  <si>
    <t>Add: depreciation &amp; amortization</t>
  </si>
  <si>
    <t>Less: capex</t>
  </si>
  <si>
    <t>Less: change in net working capital</t>
  </si>
  <si>
    <t>Opening cash balance</t>
  </si>
  <si>
    <t>Add: net cash generated in period</t>
  </si>
  <si>
    <t>Closing cash &amp; cash equivalents</t>
  </si>
  <si>
    <t>Less: total funded debt outstanding</t>
  </si>
  <si>
    <t>Less: lease liabilities outstanding</t>
  </si>
  <si>
    <t>Depreciation &amp; amortization (add-back)</t>
  </si>
  <si>
    <t>Placeholder (enter positive value for debt drawdown / negative for repayment)</t>
  </si>
  <si>
    <t>Long-term GDP + growth for urban shared mobility</t>
  </si>
  <si>
    <t>BS Check</t>
  </si>
  <si>
    <t>Payment period</t>
  </si>
  <si>
    <t>Years</t>
  </si>
  <si>
    <t xml:space="preserve">Periodic fixed payment (PMT) </t>
  </si>
  <si>
    <t>D&amp;A rate p.a (blended)</t>
  </si>
  <si>
    <t>KEY VALUATION OUTPUTS</t>
  </si>
  <si>
    <t>FINANCIAL SUMMARY</t>
  </si>
  <si>
    <t>Metric</t>
  </si>
  <si>
    <t>i_</t>
  </si>
  <si>
    <t>Inputs &amp; Assumptions</t>
  </si>
  <si>
    <t>c_</t>
  </si>
  <si>
    <t>Calculations</t>
  </si>
  <si>
    <t>o_</t>
  </si>
  <si>
    <t>&gt;&gt;</t>
  </si>
  <si>
    <t>Section dividers</t>
  </si>
  <si>
    <t>Hardcoded data, historical figures, and model assumptions</t>
  </si>
  <si>
    <t>Dynamic formulas and cross-sheet links</t>
  </si>
  <si>
    <t>Navigation tabs separating Input, Calcs and Output sections</t>
  </si>
  <si>
    <t>(EUR '000 unless stated)</t>
  </si>
  <si>
    <t xml:space="preserve"> ASSUMPTIONS</t>
  </si>
  <si>
    <t>Shares Outstanding (Diluted Post-Conversion)</t>
  </si>
  <si>
    <t>CAPITAL STRUCTURE 2025A</t>
  </si>
  <si>
    <t>Closing cash</t>
  </si>
  <si>
    <t>Funded debt</t>
  </si>
  <si>
    <t>Lease liabilities</t>
  </si>
  <si>
    <t>Valuation Outputs</t>
  </si>
  <si>
    <t xml:space="preserve">Blended pre-money enterprise and equity valuations </t>
  </si>
  <si>
    <t>DCF Weight</t>
  </si>
  <si>
    <t>Equal-weighted consensus Enterprise Value (50:50)</t>
  </si>
  <si>
    <t>2026E Adjusted EBITDA (forward-looking)</t>
  </si>
  <si>
    <t>2026E Consolidated Sales Revenue (forward-looking)</t>
  </si>
  <si>
    <t>Bolt Technology OÜ - Draft Valuation Model</t>
  </si>
  <si>
    <t>Risk-free 2.5% + Beta 1.30 + Equity Risk Premium 6.0%</t>
  </si>
  <si>
    <t>Mid-year discounting convention (period offset)</t>
  </si>
  <si>
    <t>0.5 = mid-year convention; 0 = end-of-year discounting</t>
  </si>
  <si>
    <t>Mid-year Discounting Convention (period offset)</t>
  </si>
  <si>
    <t>Forecast period flag</t>
  </si>
  <si>
    <t>Discount period (t)</t>
  </si>
  <si>
    <t>Terminal year flag</t>
  </si>
  <si>
    <t>Discount factor</t>
  </si>
  <si>
    <t>Terminal Year Unlevered FCF</t>
  </si>
  <si>
    <t>Flag</t>
  </si>
  <si>
    <t>Unlevered FCF</t>
  </si>
  <si>
    <t>PV of Unlevered FCF</t>
  </si>
  <si>
    <t>Matrix showing Pre-Money Implied Share Price at varying EV/Sales multiples.</t>
  </si>
  <si>
    <t>Sensitivity Growth Step (Bear / Bull vs 2026E)</t>
  </si>
  <si>
    <t>Drives Bear (-step) and Bull (+step) rows in o_Valuation sensitivity matrix</t>
  </si>
  <si>
    <t>Disclaimer: This model is a draft prepared for illustrative and analytical purposes only. Forward-looking figures (2026E-2028E), valuation multiples, and implied share prices are based on assumptions and estimates that are inherently uncertain and may differ materially from actual results. Historical figures are extracted from the Bolt Technology OÜ Consolidated Annual Report 2025 and have not been independently verified. Nothing in this model constitutes investment, financial, legal or tax advice, an offer or solicitation to buy or sell any security, or a recommendation regarding any IPO. No output should be relied upon for any investment decision. The author accepts no liability for any loss arising from use of, or reliance on, this model.</t>
  </si>
  <si>
    <t>Note: All sheets are protected other than input assumptions which drive valuation outputs; password held by the model owner. Please edit only assumption cells on i_Inputs (cols 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</si>
</sst>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quot;-&quot;"/>
    <numFmt numFmtId="165" formatCode="0.0%"/>
    <numFmt numFmtId="166" formatCode="0.0&quot;x&quot;"/>
    <numFmt numFmtId="167" formatCode="\€#,##0.00"/>
    <numFmt numFmtId="168" formatCode="_(* #,##0_);_(* \(#,##0\);_(* &quot;-&quot;??_);_(@_)"/>
    <numFmt numFmtId="169" formatCode="#,##0;\(#,##0\)"/>
    <numFmt numFmtId="170" formatCode="0.0&quot;x EV/Sales&quot;"/>
    <numFmt numFmtId="171" formatCode="&quot;€&quot;#,##0.00"/>
    <numFmt numFmtId="172" formatCode="&quot;Bull Case (+&quot;0%&quot; vs 2026E)&quot;;&quot;Bear Case (&quot;\-0%&quot; vs 2026E)&quot;;&quot;Base Case (2026E)&quot;"/>
    <numFmt numFmtId="173" formatCode="0.0"/>
    <numFmt numFmtId="174" formatCode="_(* #,##0.0_);_(* \(#,##0.0\);_(* &quot;-&quot;??_);_(@_)"/>
  </numFmts>
  <fonts count="64" x14ac:knownFonts="1">
    <font>
      <sz val="11"/>
      <color theme="1"/>
      <name val="Calibri"/>
      <family val="2"/>
      <scheme val="minor"/>
    </font>
    <font>
      <sz val="12"/>
      <color theme="1"/>
      <name val="Calibri"/>
      <family val="2"/>
      <scheme val="minor"/>
    </font>
    <font>
      <sz val="12"/>
      <color theme="1"/>
      <name val="Calibri"/>
      <family val="2"/>
      <scheme val="minor"/>
    </font>
    <font>
      <b/>
      <sz val="10"/>
      <color rgb="FF002060"/>
      <name val="Calibri"/>
      <family val="2"/>
    </font>
    <font>
      <b/>
      <sz val="10"/>
      <color rgb="FFFFFFFF"/>
      <name val="Calibri"/>
      <family val="2"/>
    </font>
    <font>
      <sz val="10"/>
      <color rgb="FF000000"/>
      <name val="Calibri"/>
      <family val="2"/>
    </font>
    <font>
      <b/>
      <sz val="10"/>
      <color rgb="FF000000"/>
      <name val="Calibri"/>
      <family val="2"/>
    </font>
    <font>
      <i/>
      <sz val="10"/>
      <color rgb="FF595959"/>
      <name val="Calibri"/>
      <family val="2"/>
    </font>
    <font>
      <sz val="11"/>
      <color theme="1"/>
      <name val="Calibri"/>
      <family val="2"/>
      <scheme val="minor"/>
    </font>
    <font>
      <b/>
      <sz val="12"/>
      <color theme="0"/>
      <name val="Calibri"/>
      <family val="2"/>
      <scheme val="minor"/>
    </font>
    <font>
      <sz val="12"/>
      <color theme="1"/>
      <name val="Calibri (Body)"/>
    </font>
    <font>
      <b/>
      <sz val="12"/>
      <color rgb="FFFFFFFF"/>
      <name val="Calibri (Body)"/>
    </font>
    <font>
      <sz val="12"/>
      <color rgb="FF000000"/>
      <name val="Calibri (Body)"/>
    </font>
    <font>
      <b/>
      <sz val="16"/>
      <color theme="0"/>
      <name val="Calibri"/>
      <family val="2"/>
      <scheme val="minor"/>
    </font>
    <font>
      <b/>
      <sz val="22"/>
      <color rgb="FF1B365D"/>
      <name val="Calibri"/>
      <family val="2"/>
    </font>
    <font>
      <i/>
      <sz val="11"/>
      <color theme="1"/>
      <name val="Calibri"/>
      <family val="2"/>
      <scheme val="minor"/>
    </font>
    <font>
      <u/>
      <sz val="11"/>
      <color theme="10"/>
      <name val="Calibri"/>
      <family val="2"/>
      <scheme val="minor"/>
    </font>
    <font>
      <b/>
      <sz val="10"/>
      <color rgb="FF000000"/>
      <name val="Calibri"/>
      <family val="2"/>
      <scheme val="minor"/>
    </font>
    <font>
      <b/>
      <sz val="10"/>
      <color rgb="FF002060"/>
      <name val="Calibri"/>
      <family val="2"/>
      <scheme val="minor"/>
    </font>
    <font>
      <b/>
      <sz val="12"/>
      <color theme="0"/>
      <name val="Calibri (Body)"/>
    </font>
    <font>
      <b/>
      <sz val="12"/>
      <color rgb="FF1B365D"/>
      <name val="Calibri (Body)"/>
    </font>
    <font>
      <b/>
      <sz val="12"/>
      <color rgb="FF000000"/>
      <name val="Calibri (Body)"/>
    </font>
    <font>
      <b/>
      <i/>
      <sz val="12"/>
      <color rgb="FF000000"/>
      <name val="Calibri (Body)"/>
    </font>
    <font>
      <b/>
      <i/>
      <sz val="10"/>
      <color rgb="FF000000"/>
      <name val="Calibri"/>
      <family val="2"/>
    </font>
    <font>
      <b/>
      <i/>
      <sz val="11"/>
      <color theme="1"/>
      <name val="Calibri"/>
      <family val="2"/>
      <scheme val="minor"/>
    </font>
    <font>
      <b/>
      <sz val="12"/>
      <color rgb="FFFFFFFF"/>
      <name val="Calibri"/>
      <family val="2"/>
      <scheme val="minor"/>
    </font>
    <font>
      <b/>
      <sz val="12"/>
      <color rgb="FF1B365D"/>
      <name val="Calibri"/>
      <family val="2"/>
      <scheme val="minor"/>
    </font>
    <font>
      <sz val="12"/>
      <color rgb="FF000000"/>
      <name val="Calibri"/>
      <family val="2"/>
      <scheme val="minor"/>
    </font>
    <font>
      <b/>
      <sz val="12"/>
      <color rgb="FF000000"/>
      <name val="Calibri"/>
      <family val="2"/>
      <scheme val="minor"/>
    </font>
    <font>
      <b/>
      <sz val="12"/>
      <color rgb="FFFFFFFF"/>
      <name val="Calibri"/>
      <family val="2"/>
    </font>
    <font>
      <b/>
      <sz val="11"/>
      <color theme="1"/>
      <name val="Calibri"/>
      <family val="2"/>
      <scheme val="minor"/>
    </font>
    <font>
      <u/>
      <sz val="11"/>
      <color theme="0"/>
      <name val="Calibri"/>
      <family val="2"/>
      <scheme val="minor"/>
    </font>
    <font>
      <b/>
      <sz val="12"/>
      <color rgb="FF002060"/>
      <name val="Calibri (Body)"/>
    </font>
    <font>
      <i/>
      <sz val="12"/>
      <color rgb="FF595959"/>
      <name val="Calibri (Body)"/>
    </font>
    <font>
      <b/>
      <i/>
      <sz val="12"/>
      <color rgb="FF000000"/>
      <name val="Calibri"/>
      <family val="2"/>
      <scheme val="minor"/>
    </font>
    <font>
      <b/>
      <sz val="12"/>
      <color theme="1"/>
      <name val="Calibri (Body)"/>
    </font>
    <font>
      <sz val="10"/>
      <color rgb="FF002060"/>
      <name val="Calibri"/>
      <family val="2"/>
      <scheme val="minor"/>
    </font>
    <font>
      <sz val="10"/>
      <color rgb="FF002060"/>
      <name val="Calibri"/>
      <family val="2"/>
    </font>
    <font>
      <i/>
      <sz val="12"/>
      <color rgb="FF000000"/>
      <name val="Calibri (Body)"/>
    </font>
    <font>
      <i/>
      <sz val="10"/>
      <color rgb="FF000000"/>
      <name val="Calibri"/>
      <family val="2"/>
    </font>
    <font>
      <sz val="11"/>
      <color rgb="FF000000"/>
      <name val="Calibri"/>
      <family val="2"/>
    </font>
    <font>
      <b/>
      <sz val="11"/>
      <color rgb="FF000000"/>
      <name val="Calibri"/>
      <family val="2"/>
    </font>
    <font>
      <sz val="11"/>
      <color rgb="FF000000"/>
      <name val="Calibri (Body)"/>
    </font>
    <font>
      <b/>
      <sz val="11"/>
      <color rgb="FF000000"/>
      <name val="Calibri (Body)"/>
    </font>
    <font>
      <sz val="11"/>
      <color theme="1"/>
      <name val="Calibri (Body)"/>
    </font>
    <font>
      <i/>
      <sz val="11"/>
      <color rgb="FF595959"/>
      <name val="Calibri"/>
      <family val="2"/>
      <scheme val="minor"/>
    </font>
    <font>
      <b/>
      <sz val="11"/>
      <color rgb="FFFFFFFF"/>
      <name val="Calibri"/>
      <family val="2"/>
      <scheme val="minor"/>
    </font>
    <font>
      <b/>
      <sz val="16"/>
      <color theme="1"/>
      <name val="Calibri"/>
      <family val="2"/>
      <scheme val="minor"/>
    </font>
    <font>
      <b/>
      <sz val="16"/>
      <color rgb="FF1F3864"/>
      <name val="Calibri"/>
      <family val="2"/>
      <scheme val="minor"/>
    </font>
    <font>
      <i/>
      <sz val="11"/>
      <color rgb="FF7F7F7F"/>
      <name val="Calibri"/>
      <family val="2"/>
      <scheme val="minor"/>
    </font>
    <font>
      <b/>
      <sz val="9"/>
      <color theme="1"/>
      <name val="Calibri"/>
      <family val="2"/>
      <scheme val="minor"/>
    </font>
    <font>
      <u/>
      <sz val="11"/>
      <color rgb="FF0563C1"/>
      <name val="Calibri"/>
      <family val="2"/>
      <scheme val="minor"/>
    </font>
    <font>
      <sz val="11"/>
      <color rgb="FF404040"/>
      <name val="Calibri"/>
      <family val="2"/>
      <scheme val="minor"/>
    </font>
    <font>
      <b/>
      <sz val="12"/>
      <color rgb="FF375623"/>
      <name val="Calibri"/>
      <family val="2"/>
    </font>
    <font>
      <b/>
      <sz val="12"/>
      <color rgb="FF595959"/>
      <name val="Calibri"/>
      <family val="2"/>
    </font>
    <font>
      <b/>
      <sz val="11"/>
      <color theme="0"/>
      <name val="Calibri"/>
      <family val="2"/>
      <scheme val="minor"/>
    </font>
    <font>
      <i/>
      <sz val="9"/>
      <color theme="0"/>
      <name val="Calibri"/>
      <family val="2"/>
      <scheme val="minor"/>
    </font>
    <font>
      <b/>
      <sz val="16"/>
      <color theme="3" tint="-0.499984740745262"/>
      <name val="Calibri"/>
      <family val="2"/>
      <scheme val="minor"/>
    </font>
    <font>
      <b/>
      <sz val="11"/>
      <color theme="3" tint="-0.499984740745262"/>
      <name val="Calibri"/>
      <family val="2"/>
    </font>
    <font>
      <i/>
      <sz val="12"/>
      <color theme="1"/>
      <name val="Calibri (Body)"/>
    </font>
    <font>
      <b/>
      <sz val="10"/>
      <color theme="1"/>
      <name val="Calibri"/>
      <family val="2"/>
      <scheme val="minor"/>
    </font>
    <font>
      <b/>
      <sz val="12"/>
      <color rgb="FFC00000"/>
      <name val="Calibri"/>
      <family val="2"/>
    </font>
    <font>
      <b/>
      <i/>
      <sz val="9"/>
      <color rgb="FF595959"/>
      <name val="Calibri"/>
      <family val="2"/>
    </font>
    <font>
      <b/>
      <sz val="11"/>
      <color rgb="FFC00000"/>
      <name val="Calibri"/>
      <family val="2"/>
      <scheme val="minor"/>
    </font>
  </fonts>
  <fills count="16">
    <fill>
      <patternFill patternType="none"/>
    </fill>
    <fill>
      <patternFill patternType="gray125"/>
    </fill>
    <fill>
      <patternFill patternType="solid">
        <fgColor rgb="FF1B365D"/>
        <bgColor rgb="FF1B365D"/>
      </patternFill>
    </fill>
    <fill>
      <patternFill patternType="solid">
        <fgColor rgb="FFFFFBE6"/>
        <bgColor rgb="FFFFFBE6"/>
      </patternFill>
    </fill>
    <fill>
      <patternFill patternType="solid">
        <fgColor rgb="FFE2EFDA"/>
        <bgColor rgb="FFE2EFDA"/>
      </patternFill>
    </fill>
    <fill>
      <patternFill patternType="solid">
        <fgColor theme="1"/>
        <bgColor indexed="64"/>
      </patternFill>
    </fill>
    <fill>
      <patternFill patternType="solid">
        <fgColor theme="4" tint="0.79998168889431442"/>
        <bgColor indexed="64"/>
      </patternFill>
    </fill>
    <fill>
      <patternFill patternType="solid">
        <fgColor theme="4" tint="0.79998168889431442"/>
        <bgColor rgb="FFE8EEF5"/>
      </patternFill>
    </fill>
    <fill>
      <patternFill patternType="lightDown">
        <bgColor theme="0" tint="-4.9989318521683403E-2"/>
      </patternFill>
    </fill>
    <fill>
      <patternFill patternType="solid">
        <fgColor rgb="FF1F3864"/>
        <bgColor indexed="64"/>
      </patternFill>
    </fill>
    <fill>
      <patternFill patternType="solid">
        <fgColor rgb="FFE2EFDA"/>
        <bgColor indexed="64"/>
      </patternFill>
    </fill>
    <fill>
      <patternFill patternType="solid">
        <fgColor rgb="FFF7F9FC"/>
        <bgColor indexed="64"/>
      </patternFill>
    </fill>
    <fill>
      <patternFill patternType="solid">
        <fgColor rgb="FF404040"/>
        <bgColor indexed="64"/>
      </patternFill>
    </fill>
    <fill>
      <patternFill patternType="solid">
        <fgColor rgb="FFFFFBE6"/>
        <bgColor indexed="64"/>
      </patternFill>
    </fill>
    <fill>
      <patternFill patternType="solid">
        <fgColor rgb="FFF2F2F2"/>
        <bgColor indexed="64"/>
      </patternFill>
    </fill>
    <fill>
      <patternFill patternType="solid">
        <fgColor theme="3" tint="-0.499984740745262"/>
        <bgColor indexed="64"/>
      </patternFill>
    </fill>
  </fills>
  <borders count="33">
    <border>
      <left/>
      <right/>
      <top/>
      <bottom/>
      <diagonal/>
    </border>
    <border>
      <left style="thin">
        <color rgb="FFD9D9D9"/>
      </left>
      <right style="thin">
        <color rgb="FFD9D9D9"/>
      </right>
      <top style="thin">
        <color rgb="FFD9D9D9"/>
      </top>
      <bottom style="thin">
        <color rgb="FFD9D9D9"/>
      </bottom>
      <diagonal/>
    </border>
    <border>
      <left/>
      <right/>
      <top style="thin">
        <color indexed="64"/>
      </top>
      <bottom style="double">
        <color indexed="64"/>
      </bottom>
      <diagonal/>
    </border>
    <border>
      <left/>
      <right/>
      <top style="thin">
        <color indexed="64"/>
      </top>
      <bottom/>
      <diagonal/>
    </border>
    <border>
      <left/>
      <right style="thin">
        <color rgb="FFD9D9D9"/>
      </right>
      <top style="thin">
        <color rgb="FFD9D9D9"/>
      </top>
      <bottom style="thin">
        <color rgb="FFD9D9D9"/>
      </bottom>
      <diagonal/>
    </border>
    <border>
      <left/>
      <right style="thin">
        <color theme="0" tint="-0.14999847407452621"/>
      </right>
      <top/>
      <bottom/>
      <diagonal/>
    </border>
    <border>
      <left/>
      <right/>
      <top style="thin">
        <color theme="1"/>
      </top>
      <bottom/>
      <diagonal/>
    </border>
    <border>
      <left/>
      <right/>
      <top style="thin">
        <color theme="1"/>
      </top>
      <bottom style="double">
        <color theme="1"/>
      </bottom>
      <diagonal/>
    </border>
    <border>
      <left/>
      <right/>
      <top style="thin">
        <color theme="1"/>
      </top>
      <bottom style="thin">
        <color theme="1"/>
      </bottom>
      <diagonal/>
    </border>
    <border>
      <left/>
      <right/>
      <top/>
      <bottom style="double">
        <color theme="1"/>
      </bottom>
      <diagonal/>
    </border>
    <border>
      <left/>
      <right/>
      <top/>
      <bottom style="thin">
        <color rgb="FFD9D9D9"/>
      </bottom>
      <diagonal/>
    </border>
    <border>
      <left/>
      <right/>
      <top style="thin">
        <color rgb="FFD9D9D9"/>
      </top>
      <bottom style="thin">
        <color rgb="FFD9D9D9"/>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right/>
      <top style="thin">
        <color rgb="FFD9D9D9"/>
      </top>
      <bottom style="thin">
        <color rgb="FF1F3864"/>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right/>
      <top style="medium">
        <color theme="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ck">
        <color rgb="FFFFFFFF"/>
      </right>
      <top/>
      <bottom style="thick">
        <color rgb="FFFFFFFF"/>
      </bottom>
      <diagonal/>
    </border>
    <border>
      <left/>
      <right style="thick">
        <color rgb="FFFFFFFF"/>
      </right>
      <top style="thick">
        <color rgb="FFFFFFFF"/>
      </top>
      <bottom/>
      <diagonal/>
    </border>
    <border>
      <left style="thin">
        <color indexed="64"/>
      </left>
      <right/>
      <top style="thin">
        <color indexed="64"/>
      </top>
      <bottom/>
      <diagonal/>
    </border>
    <border>
      <left style="thin">
        <color rgb="FFD9D9D9"/>
      </left>
      <right style="thin">
        <color rgb="FFD9D9D9"/>
      </right>
      <top style="thin">
        <color indexed="64"/>
      </top>
      <bottom style="thin">
        <color rgb="FFD9D9D9"/>
      </bottom>
      <diagonal/>
    </border>
    <border>
      <left style="thin">
        <color rgb="FFD9D9D9"/>
      </left>
      <right style="thin">
        <color indexed="64"/>
      </right>
      <top style="thin">
        <color indexed="64"/>
      </top>
      <bottom style="thin">
        <color rgb="FFD9D9D9"/>
      </bottom>
      <diagonal/>
    </border>
    <border>
      <left style="thin">
        <color rgb="FFD9D9D9"/>
      </left>
      <right style="thin">
        <color indexed="64"/>
      </right>
      <top style="thin">
        <color rgb="FFD9D9D9"/>
      </top>
      <bottom style="thin">
        <color rgb="FFD9D9D9"/>
      </bottom>
      <diagonal/>
    </border>
    <border>
      <left style="thin">
        <color indexed="64"/>
      </left>
      <right/>
      <top/>
      <bottom style="thin">
        <color indexed="64"/>
      </bottom>
      <diagonal/>
    </border>
    <border>
      <left style="thin">
        <color rgb="FFD9D9D9"/>
      </left>
      <right style="thin">
        <color rgb="FFD9D9D9"/>
      </right>
      <top style="thin">
        <color rgb="FFD9D9D9"/>
      </top>
      <bottom style="thin">
        <color indexed="64"/>
      </bottom>
      <diagonal/>
    </border>
    <border>
      <left style="thin">
        <color rgb="FFD9D9D9"/>
      </left>
      <right style="thin">
        <color indexed="64"/>
      </right>
      <top style="thin">
        <color rgb="FFD9D9D9"/>
      </top>
      <bottom style="thin">
        <color indexed="64"/>
      </bottom>
      <diagonal/>
    </border>
    <border>
      <left style="thin">
        <color indexed="64"/>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rgb="FFD9D9D9"/>
      </right>
      <top style="thin">
        <color theme="0" tint="-0.249977111117893"/>
      </top>
      <bottom style="thin">
        <color theme="0" tint="-0.249977111117893"/>
      </bottom>
      <diagonal/>
    </border>
  </borders>
  <cellStyleXfs count="4">
    <xf numFmtId="0" fontId="0" fillId="0" borderId="0"/>
    <xf numFmtId="43" fontId="8" fillId="0" borderId="0" applyFont="0" applyFill="0" applyBorder="0" applyAlignment="0" applyProtection="0"/>
    <xf numFmtId="9" fontId="8" fillId="0" borderId="0" applyFont="0" applyFill="0" applyBorder="0" applyAlignment="0" applyProtection="0"/>
    <xf numFmtId="0" fontId="16" fillId="0" borderId="0" applyNumberFormat="0" applyFill="0" applyBorder="0" applyAlignment="0" applyProtection="0"/>
  </cellStyleXfs>
  <cellXfs count="223">
    <xf numFmtId="0" fontId="0" fillId="0" borderId="0" xfId="0"/>
    <xf numFmtId="0" fontId="4" fillId="2" borderId="0" xfId="0" applyFont="1" applyFill="1" applyAlignment="1">
      <alignment horizontal="left" vertical="center"/>
    </xf>
    <xf numFmtId="0" fontId="4" fillId="2" borderId="0" xfId="0" applyFont="1" applyFill="1" applyAlignment="1">
      <alignment horizontal="center" vertical="center"/>
    </xf>
    <xf numFmtId="0" fontId="7" fillId="0" borderId="0" xfId="0" applyFont="1"/>
    <xf numFmtId="164" fontId="3" fillId="3" borderId="1" xfId="0" applyNumberFormat="1" applyFont="1" applyFill="1" applyBorder="1" applyAlignment="1">
      <alignment horizontal="right" vertical="center"/>
    </xf>
    <xf numFmtId="0" fontId="10" fillId="0" borderId="0" xfId="0" applyFont="1"/>
    <xf numFmtId="0" fontId="11" fillId="2" borderId="0" xfId="0" applyFont="1" applyFill="1" applyAlignment="1">
      <alignment horizontal="left" vertical="center"/>
    </xf>
    <xf numFmtId="0" fontId="0" fillId="5" borderId="0" xfId="0" applyFill="1"/>
    <xf numFmtId="0" fontId="13" fillId="5" borderId="0" xfId="0" applyFont="1" applyFill="1"/>
    <xf numFmtId="0" fontId="14" fillId="0" borderId="0" xfId="0" applyFont="1"/>
    <xf numFmtId="0" fontId="15" fillId="5" borderId="0" xfId="0" applyFont="1" applyFill="1"/>
    <xf numFmtId="0" fontId="5" fillId="0" borderId="0" xfId="0" applyFont="1" applyAlignment="1">
      <alignment horizontal="left" vertical="center"/>
    </xf>
    <xf numFmtId="0" fontId="5" fillId="0" borderId="0" xfId="0" applyFont="1" applyAlignment="1">
      <alignment horizontal="center" vertical="center"/>
    </xf>
    <xf numFmtId="168" fontId="5" fillId="0" borderId="0" xfId="1" applyNumberFormat="1" applyFont="1" applyBorder="1" applyAlignment="1">
      <alignment horizontal="right" vertical="center"/>
    </xf>
    <xf numFmtId="165" fontId="5" fillId="0" borderId="0" xfId="0" applyNumberFormat="1" applyFont="1" applyAlignment="1">
      <alignment horizontal="right" vertical="center"/>
    </xf>
    <xf numFmtId="0" fontId="6" fillId="0" borderId="2" xfId="0" applyFont="1" applyBorder="1" applyAlignment="1">
      <alignment horizontal="center" vertical="center"/>
    </xf>
    <xf numFmtId="168" fontId="6" fillId="0" borderId="2" xfId="1" applyNumberFormat="1" applyFont="1" applyBorder="1" applyAlignment="1">
      <alignment horizontal="right" vertical="center"/>
    </xf>
    <xf numFmtId="165" fontId="6" fillId="0" borderId="2" xfId="0" applyNumberFormat="1" applyFont="1" applyBorder="1" applyAlignment="1">
      <alignment horizontal="right" vertical="center"/>
    </xf>
    <xf numFmtId="0" fontId="6" fillId="0" borderId="3" xfId="0" applyFont="1" applyBorder="1" applyAlignment="1">
      <alignment horizontal="center" vertical="center"/>
    </xf>
    <xf numFmtId="168" fontId="6" fillId="0" borderId="3" xfId="1" applyNumberFormat="1" applyFont="1" applyBorder="1" applyAlignment="1">
      <alignment horizontal="right" vertical="center"/>
    </xf>
    <xf numFmtId="165" fontId="6" fillId="0" borderId="3" xfId="0" applyNumberFormat="1" applyFont="1" applyBorder="1" applyAlignment="1">
      <alignment horizontal="right" vertical="center"/>
    </xf>
    <xf numFmtId="0" fontId="6" fillId="0" borderId="0" xfId="0" applyFont="1" applyAlignment="1">
      <alignment horizontal="left" vertical="center"/>
    </xf>
    <xf numFmtId="0" fontId="6" fillId="0" borderId="0" xfId="0" applyFont="1" applyAlignment="1">
      <alignment horizontal="center" vertical="center"/>
    </xf>
    <xf numFmtId="168" fontId="6" fillId="0" borderId="0" xfId="1" applyNumberFormat="1" applyFont="1" applyBorder="1" applyAlignment="1">
      <alignment horizontal="right" vertical="center"/>
    </xf>
    <xf numFmtId="0" fontId="0" fillId="6" borderId="0" xfId="0" applyFill="1"/>
    <xf numFmtId="0" fontId="0" fillId="7" borderId="0" xfId="0" applyFill="1"/>
    <xf numFmtId="168" fontId="0" fillId="6" borderId="0" xfId="1" applyNumberFormat="1" applyFont="1" applyFill="1"/>
    <xf numFmtId="0" fontId="17" fillId="0" borderId="0" xfId="0" applyFont="1" applyAlignment="1">
      <alignment horizontal="center" vertical="center"/>
    </xf>
    <xf numFmtId="0" fontId="0" fillId="8" borderId="0" xfId="0" applyFill="1"/>
    <xf numFmtId="3" fontId="3" fillId="3" borderId="4" xfId="0" applyNumberFormat="1" applyFont="1" applyFill="1" applyBorder="1" applyAlignment="1">
      <alignment horizontal="right" vertical="center"/>
    </xf>
    <xf numFmtId="164" fontId="3" fillId="3" borderId="0" xfId="0" applyNumberFormat="1" applyFont="1" applyFill="1" applyAlignment="1">
      <alignment horizontal="right" vertical="center"/>
    </xf>
    <xf numFmtId="164" fontId="18" fillId="3" borderId="0" xfId="0" applyNumberFormat="1" applyFont="1" applyFill="1" applyAlignment="1">
      <alignment horizontal="right" vertical="center"/>
    </xf>
    <xf numFmtId="164" fontId="18" fillId="3" borderId="6" xfId="0" applyNumberFormat="1" applyFont="1" applyFill="1" applyBorder="1" applyAlignment="1">
      <alignment horizontal="right" vertical="center"/>
    </xf>
    <xf numFmtId="164" fontId="3" fillId="3" borderId="6" xfId="0" applyNumberFormat="1" applyFont="1" applyFill="1" applyBorder="1" applyAlignment="1">
      <alignment horizontal="right" vertical="center"/>
    </xf>
    <xf numFmtId="164" fontId="18" fillId="3" borderId="7" xfId="0" applyNumberFormat="1" applyFont="1" applyFill="1" applyBorder="1" applyAlignment="1">
      <alignment horizontal="right" vertical="center"/>
    </xf>
    <xf numFmtId="164" fontId="3" fillId="3" borderId="7" xfId="0" applyNumberFormat="1" applyFont="1" applyFill="1" applyBorder="1" applyAlignment="1">
      <alignment horizontal="right" vertical="center"/>
    </xf>
    <xf numFmtId="164" fontId="18" fillId="3" borderId="8" xfId="0" applyNumberFormat="1" applyFont="1" applyFill="1" applyBorder="1" applyAlignment="1">
      <alignment horizontal="right" vertical="center"/>
    </xf>
    <xf numFmtId="164" fontId="3" fillId="3" borderId="8" xfId="0" applyNumberFormat="1" applyFont="1" applyFill="1" applyBorder="1" applyAlignment="1">
      <alignment horizontal="right" vertical="center"/>
    </xf>
    <xf numFmtId="0" fontId="6" fillId="0" borderId="6" xfId="0" applyFont="1" applyBorder="1" applyAlignment="1">
      <alignment horizontal="left" vertical="center"/>
    </xf>
    <xf numFmtId="0" fontId="6" fillId="0" borderId="6" xfId="0" applyFont="1" applyBorder="1" applyAlignment="1">
      <alignment horizontal="center" vertical="center"/>
    </xf>
    <xf numFmtId="168" fontId="6" fillId="0" borderId="6" xfId="1" applyNumberFormat="1" applyFont="1" applyBorder="1" applyAlignment="1">
      <alignment horizontal="right" vertical="center"/>
    </xf>
    <xf numFmtId="165" fontId="6" fillId="0" borderId="6" xfId="0" applyNumberFormat="1" applyFont="1" applyBorder="1" applyAlignment="1">
      <alignment horizontal="right" vertical="center"/>
    </xf>
    <xf numFmtId="0" fontId="5" fillId="0" borderId="5" xfId="0" applyFont="1" applyBorder="1" applyAlignment="1">
      <alignment horizontal="center" vertical="center"/>
    </xf>
    <xf numFmtId="0" fontId="11" fillId="2" borderId="0" xfId="0" applyFont="1" applyFill="1" applyAlignment="1">
      <alignment horizontal="center" vertical="center"/>
    </xf>
    <xf numFmtId="0" fontId="19" fillId="5" borderId="0" xfId="0" applyFont="1" applyFill="1"/>
    <xf numFmtId="0" fontId="12" fillId="0" borderId="0" xfId="0" applyFont="1" applyAlignment="1">
      <alignment horizontal="left" vertical="center"/>
    </xf>
    <xf numFmtId="0" fontId="20" fillId="0" borderId="0" xfId="0" applyFont="1"/>
    <xf numFmtId="0" fontId="21" fillId="0" borderId="6" xfId="0" applyFont="1" applyBorder="1" applyAlignment="1">
      <alignment horizontal="left" vertical="center"/>
    </xf>
    <xf numFmtId="0" fontId="21" fillId="0" borderId="0" xfId="0" applyFont="1" applyAlignment="1">
      <alignment horizontal="left" vertical="center"/>
    </xf>
    <xf numFmtId="0" fontId="21" fillId="0" borderId="7" xfId="0" applyFont="1" applyBorder="1" applyAlignment="1">
      <alignment horizontal="left" vertical="center"/>
    </xf>
    <xf numFmtId="0" fontId="0" fillId="0" borderId="7" xfId="0" applyBorder="1"/>
    <xf numFmtId="0" fontId="6" fillId="0" borderId="7" xfId="0" applyFont="1" applyBorder="1" applyAlignment="1">
      <alignment horizontal="left" vertical="center"/>
    </xf>
    <xf numFmtId="168" fontId="6" fillId="0" borderId="7" xfId="1" applyNumberFormat="1" applyFont="1" applyBorder="1" applyAlignment="1">
      <alignment horizontal="right" vertical="center"/>
    </xf>
    <xf numFmtId="0" fontId="15" fillId="0" borderId="0" xfId="0" applyFont="1"/>
    <xf numFmtId="0" fontId="22" fillId="0" borderId="0" xfId="0" applyFont="1" applyAlignment="1">
      <alignment horizontal="left" vertical="center"/>
    </xf>
    <xf numFmtId="0" fontId="23" fillId="0" borderId="0" xfId="0" applyFont="1" applyAlignment="1">
      <alignment horizontal="left" vertical="center"/>
    </xf>
    <xf numFmtId="165" fontId="23" fillId="0" borderId="0" xfId="0" applyNumberFormat="1" applyFont="1" applyAlignment="1">
      <alignment horizontal="right" vertical="center"/>
    </xf>
    <xf numFmtId="0" fontId="24" fillId="0" borderId="0" xfId="0" applyFont="1"/>
    <xf numFmtId="0" fontId="0" fillId="0" borderId="6" xfId="0" applyBorder="1"/>
    <xf numFmtId="0" fontId="2" fillId="0" borderId="0" xfId="0" applyFont="1"/>
    <xf numFmtId="0" fontId="25" fillId="2" borderId="0" xfId="0" applyFont="1" applyFill="1" applyAlignment="1">
      <alignment horizontal="center" vertical="center"/>
    </xf>
    <xf numFmtId="0" fontId="9" fillId="5" borderId="0" xfId="0" applyFont="1" applyFill="1"/>
    <xf numFmtId="0" fontId="26" fillId="7" borderId="0" xfId="0" applyFont="1" applyFill="1"/>
    <xf numFmtId="0" fontId="27" fillId="0" borderId="0" xfId="0" applyFont="1" applyAlignment="1">
      <alignment horizontal="left" vertical="center"/>
    </xf>
    <xf numFmtId="0" fontId="28" fillId="0" borderId="3" xfId="0" applyFont="1" applyBorder="1" applyAlignment="1">
      <alignment horizontal="left" vertical="center"/>
    </xf>
    <xf numFmtId="0" fontId="28" fillId="0" borderId="6" xfId="0" applyFont="1" applyBorder="1" applyAlignment="1">
      <alignment horizontal="left" vertical="center"/>
    </xf>
    <xf numFmtId="0" fontId="28" fillId="0" borderId="2" xfId="0" applyFont="1" applyBorder="1" applyAlignment="1">
      <alignment horizontal="left" vertical="center"/>
    </xf>
    <xf numFmtId="0" fontId="26" fillId="6" borderId="0" xfId="0" applyFont="1" applyFill="1"/>
    <xf numFmtId="0" fontId="29" fillId="2" borderId="0" xfId="0" applyFont="1" applyFill="1" applyAlignment="1">
      <alignment horizontal="center" vertical="center"/>
    </xf>
    <xf numFmtId="0" fontId="7" fillId="0" borderId="0" xfId="0" applyFont="1" applyAlignment="1">
      <alignment horizontal="left" vertical="top"/>
    </xf>
    <xf numFmtId="0" fontId="30" fillId="0" borderId="0" xfId="0" applyFont="1"/>
    <xf numFmtId="0" fontId="30" fillId="0" borderId="6" xfId="0" applyFont="1" applyBorder="1"/>
    <xf numFmtId="168" fontId="5" fillId="0" borderId="0" xfId="1" applyNumberFormat="1" applyFont="1" applyFill="1" applyBorder="1" applyAlignment="1">
      <alignment horizontal="right" vertical="center"/>
    </xf>
    <xf numFmtId="0" fontId="29" fillId="2" borderId="0" xfId="0" applyFont="1" applyFill="1" applyAlignment="1">
      <alignment horizontal="left" vertical="center"/>
    </xf>
    <xf numFmtId="9" fontId="0" fillId="0" borderId="0" xfId="2" applyFont="1"/>
    <xf numFmtId="0" fontId="31" fillId="5" borderId="0" xfId="3" applyFont="1" applyFill="1"/>
    <xf numFmtId="0" fontId="30" fillId="0" borderId="7" xfId="0" applyFont="1" applyBorder="1"/>
    <xf numFmtId="168" fontId="6" fillId="0" borderId="7" xfId="1" applyNumberFormat="1" applyFont="1" applyBorder="1" applyAlignment="1">
      <alignment horizontal="left" vertical="center"/>
    </xf>
    <xf numFmtId="10" fontId="5" fillId="0" borderId="0" xfId="2" applyNumberFormat="1" applyFont="1" applyBorder="1" applyAlignment="1">
      <alignment horizontal="center" vertical="center"/>
    </xf>
    <xf numFmtId="0" fontId="28" fillId="0" borderId="0" xfId="0" applyFont="1" applyAlignment="1">
      <alignment horizontal="left" vertical="center"/>
    </xf>
    <xf numFmtId="0" fontId="33" fillId="0" borderId="0" xfId="0" applyFont="1"/>
    <xf numFmtId="0" fontId="6" fillId="0" borderId="7" xfId="0" applyFont="1" applyBorder="1" applyAlignment="1">
      <alignment horizontal="center" vertical="center"/>
    </xf>
    <xf numFmtId="0" fontId="19" fillId="0" borderId="0" xfId="0" applyFont="1"/>
    <xf numFmtId="165" fontId="6" fillId="0" borderId="0" xfId="0" applyNumberFormat="1" applyFont="1" applyAlignment="1">
      <alignment horizontal="right" vertical="center"/>
    </xf>
    <xf numFmtId="0" fontId="34" fillId="0" borderId="0" xfId="0" applyFont="1" applyAlignment="1">
      <alignment horizontal="left" vertical="center"/>
    </xf>
    <xf numFmtId="0" fontId="23" fillId="0" borderId="0" xfId="0" applyFont="1" applyAlignment="1">
      <alignment horizontal="center" vertical="center"/>
    </xf>
    <xf numFmtId="43" fontId="23" fillId="0" borderId="0" xfId="1" applyFont="1" applyBorder="1" applyAlignment="1">
      <alignment horizontal="center" vertical="center"/>
    </xf>
    <xf numFmtId="168" fontId="6" fillId="0" borderId="7" xfId="1" applyNumberFormat="1" applyFont="1" applyFill="1" applyBorder="1" applyAlignment="1">
      <alignment horizontal="right" vertical="center"/>
    </xf>
    <xf numFmtId="0" fontId="35" fillId="0" borderId="7" xfId="0" applyFont="1" applyBorder="1"/>
    <xf numFmtId="168" fontId="0" fillId="0" borderId="0" xfId="0" applyNumberFormat="1"/>
    <xf numFmtId="168" fontId="6" fillId="0" borderId="0" xfId="1" applyNumberFormat="1" applyFont="1" applyFill="1" applyBorder="1" applyAlignment="1">
      <alignment horizontal="right" vertical="center"/>
    </xf>
    <xf numFmtId="164" fontId="36" fillId="3" borderId="0" xfId="0" applyNumberFormat="1" applyFont="1" applyFill="1" applyAlignment="1">
      <alignment horizontal="right" vertical="center"/>
    </xf>
    <xf numFmtId="0" fontId="28" fillId="0" borderId="7" xfId="0" applyFont="1" applyBorder="1" applyAlignment="1">
      <alignment horizontal="left" vertical="center"/>
    </xf>
    <xf numFmtId="165" fontId="6" fillId="0" borderId="7" xfId="0" applyNumberFormat="1" applyFont="1" applyBorder="1" applyAlignment="1">
      <alignment horizontal="right" vertical="center"/>
    </xf>
    <xf numFmtId="0" fontId="28" fillId="0" borderId="8" xfId="0" applyFont="1" applyBorder="1" applyAlignment="1">
      <alignment horizontal="left" vertical="center"/>
    </xf>
    <xf numFmtId="0" fontId="6" fillId="0" borderId="8" xfId="0" applyFont="1" applyBorder="1" applyAlignment="1">
      <alignment horizontal="center" vertical="center"/>
    </xf>
    <xf numFmtId="168" fontId="6" fillId="0" borderId="8" xfId="1" applyNumberFormat="1" applyFont="1" applyBorder="1" applyAlignment="1">
      <alignment horizontal="right" vertical="center"/>
    </xf>
    <xf numFmtId="165" fontId="6" fillId="0" borderId="8" xfId="0" applyNumberFormat="1" applyFont="1" applyBorder="1" applyAlignment="1">
      <alignment horizontal="right" vertical="center"/>
    </xf>
    <xf numFmtId="0" fontId="26" fillId="0" borderId="0" xfId="0" applyFont="1"/>
    <xf numFmtId="164" fontId="37" fillId="3" borderId="0" xfId="0" applyNumberFormat="1" applyFont="1" applyFill="1" applyAlignment="1">
      <alignment horizontal="right" vertical="center"/>
    </xf>
    <xf numFmtId="164" fontId="3" fillId="0" borderId="0" xfId="0" applyNumberFormat="1" applyFont="1" applyAlignment="1">
      <alignment horizontal="right" vertical="center"/>
    </xf>
    <xf numFmtId="9" fontId="0" fillId="0" borderId="0" xfId="2" applyFont="1" applyBorder="1"/>
    <xf numFmtId="43" fontId="23" fillId="0" borderId="0" xfId="1" applyFont="1" applyFill="1" applyBorder="1" applyAlignment="1">
      <alignment horizontal="center" vertical="center"/>
    </xf>
    <xf numFmtId="164" fontId="37" fillId="0" borderId="0" xfId="0" applyNumberFormat="1" applyFont="1" applyAlignment="1">
      <alignment horizontal="right" vertical="center"/>
    </xf>
    <xf numFmtId="164" fontId="3" fillId="3" borderId="9" xfId="0" applyNumberFormat="1" applyFont="1" applyFill="1" applyBorder="1" applyAlignment="1">
      <alignment horizontal="right" vertical="center"/>
    </xf>
    <xf numFmtId="0" fontId="38" fillId="0" borderId="0" xfId="0" applyFont="1" applyAlignment="1">
      <alignment horizontal="left" vertical="center"/>
    </xf>
    <xf numFmtId="0" fontId="39" fillId="0" borderId="0" xfId="0" applyFont="1" applyAlignment="1">
      <alignment horizontal="left" vertical="center"/>
    </xf>
    <xf numFmtId="165" fontId="39" fillId="0" borderId="0" xfId="0" applyNumberFormat="1" applyFont="1" applyAlignment="1">
      <alignment horizontal="right" vertical="center"/>
    </xf>
    <xf numFmtId="168" fontId="6" fillId="0" borderId="6" xfId="1" applyNumberFormat="1" applyFont="1" applyFill="1" applyBorder="1" applyAlignment="1">
      <alignment horizontal="right" vertical="center"/>
    </xf>
    <xf numFmtId="168" fontId="6" fillId="0" borderId="6" xfId="1" applyNumberFormat="1" applyFont="1" applyFill="1" applyBorder="1" applyAlignment="1">
      <alignment horizontal="left" vertical="center"/>
    </xf>
    <xf numFmtId="164" fontId="40" fillId="0" borderId="0" xfId="0" applyNumberFormat="1" applyFont="1" applyAlignment="1">
      <alignment horizontal="right" vertical="center"/>
    </xf>
    <xf numFmtId="165" fontId="40" fillId="0" borderId="0" xfId="0" applyNumberFormat="1" applyFont="1" applyAlignment="1">
      <alignment horizontal="right" vertical="center"/>
    </xf>
    <xf numFmtId="164" fontId="41" fillId="4" borderId="6" xfId="0" applyNumberFormat="1" applyFont="1" applyFill="1" applyBorder="1" applyAlignment="1">
      <alignment horizontal="right" vertical="center"/>
    </xf>
    <xf numFmtId="3" fontId="40" fillId="0" borderId="0" xfId="0" applyNumberFormat="1" applyFont="1" applyAlignment="1">
      <alignment horizontal="right" vertical="center"/>
    </xf>
    <xf numFmtId="167" fontId="41" fillId="4" borderId="6" xfId="0" applyNumberFormat="1" applyFont="1" applyFill="1" applyBorder="1" applyAlignment="1">
      <alignment horizontal="right" vertical="center"/>
    </xf>
    <xf numFmtId="164" fontId="42" fillId="0" borderId="0" xfId="0" applyNumberFormat="1" applyFont="1" applyAlignment="1">
      <alignment horizontal="right" vertical="center"/>
    </xf>
    <xf numFmtId="0" fontId="44" fillId="0" borderId="0" xfId="0" applyFont="1"/>
    <xf numFmtId="0" fontId="1" fillId="0" borderId="0" xfId="0" applyFont="1"/>
    <xf numFmtId="164" fontId="41" fillId="4" borderId="0" xfId="0" applyNumberFormat="1" applyFont="1" applyFill="1" applyAlignment="1">
      <alignment horizontal="right" vertical="center"/>
    </xf>
    <xf numFmtId="164" fontId="41" fillId="4" borderId="7" xfId="0" applyNumberFormat="1" applyFont="1" applyFill="1" applyBorder="1" applyAlignment="1">
      <alignment horizontal="right" vertical="center"/>
    </xf>
    <xf numFmtId="167" fontId="40" fillId="0" borderId="0" xfId="0" applyNumberFormat="1" applyFont="1" applyAlignment="1">
      <alignment horizontal="right" vertical="center"/>
    </xf>
    <xf numFmtId="0" fontId="45" fillId="0" borderId="0" xfId="0" applyFont="1"/>
    <xf numFmtId="0" fontId="46" fillId="9" borderId="0" xfId="0" applyFont="1" applyFill="1"/>
    <xf numFmtId="0" fontId="48" fillId="0" borderId="0" xfId="0" applyFont="1"/>
    <xf numFmtId="0" fontId="49" fillId="0" borderId="0" xfId="0" applyFont="1"/>
    <xf numFmtId="3" fontId="30" fillId="0" borderId="10" xfId="0" applyNumberFormat="1" applyFont="1" applyBorder="1" applyAlignment="1">
      <alignment horizontal="right"/>
    </xf>
    <xf numFmtId="3" fontId="30" fillId="11" borderId="10" xfId="0" applyNumberFormat="1" applyFont="1" applyFill="1" applyBorder="1" applyAlignment="1">
      <alignment horizontal="right"/>
    </xf>
    <xf numFmtId="165" fontId="45" fillId="0" borderId="11" xfId="0" applyNumberFormat="1" applyFont="1" applyBorder="1" applyAlignment="1">
      <alignment horizontal="right"/>
    </xf>
    <xf numFmtId="165" fontId="45" fillId="11" borderId="11" xfId="0" applyNumberFormat="1" applyFont="1" applyFill="1" applyBorder="1" applyAlignment="1">
      <alignment horizontal="right"/>
    </xf>
    <xf numFmtId="3" fontId="30" fillId="0" borderId="11" xfId="0" applyNumberFormat="1" applyFont="1" applyBorder="1" applyAlignment="1">
      <alignment horizontal="right"/>
    </xf>
    <xf numFmtId="3" fontId="30" fillId="11" borderId="11" xfId="0" applyNumberFormat="1" applyFont="1" applyFill="1" applyBorder="1" applyAlignment="1">
      <alignment horizontal="right"/>
    </xf>
    <xf numFmtId="3" fontId="0" fillId="0" borderId="11" xfId="0" applyNumberFormat="1" applyBorder="1" applyAlignment="1">
      <alignment horizontal="right"/>
    </xf>
    <xf numFmtId="3" fontId="0" fillId="11" borderId="11" xfId="0" applyNumberFormat="1" applyFill="1" applyBorder="1" applyAlignment="1">
      <alignment horizontal="right"/>
    </xf>
    <xf numFmtId="3" fontId="0" fillId="0" borderId="14" xfId="0" applyNumberFormat="1" applyBorder="1" applyAlignment="1">
      <alignment horizontal="right"/>
    </xf>
    <xf numFmtId="3" fontId="0" fillId="11" borderId="14" xfId="0" applyNumberFormat="1" applyFill="1" applyBorder="1" applyAlignment="1">
      <alignment horizontal="right"/>
    </xf>
    <xf numFmtId="0" fontId="30" fillId="0" borderId="10" xfId="0" applyFont="1" applyBorder="1" applyAlignment="1">
      <alignment indent="1"/>
    </xf>
    <xf numFmtId="0" fontId="45" fillId="0" borderId="11" xfId="0" applyFont="1" applyBorder="1" applyAlignment="1">
      <alignment indent="1"/>
    </xf>
    <xf numFmtId="0" fontId="30" fillId="0" borderId="11" xfId="0" applyFont="1" applyBorder="1" applyAlignment="1">
      <alignment indent="1"/>
    </xf>
    <xf numFmtId="0" fontId="0" fillId="0" borderId="11" xfId="0" applyBorder="1" applyAlignment="1">
      <alignment indent="1"/>
    </xf>
    <xf numFmtId="0" fontId="0" fillId="0" borderId="14" xfId="0" applyBorder="1" applyAlignment="1">
      <alignment indent="1"/>
    </xf>
    <xf numFmtId="0" fontId="35" fillId="0" borderId="0" xfId="0" applyFont="1"/>
    <xf numFmtId="0" fontId="51" fillId="0" borderId="0" xfId="3" applyFont="1"/>
    <xf numFmtId="164" fontId="54" fillId="14" borderId="0" xfId="0" applyNumberFormat="1" applyFont="1" applyFill="1" applyAlignment="1">
      <alignment horizontal="center" vertical="center"/>
    </xf>
    <xf numFmtId="0" fontId="41" fillId="0" borderId="0" xfId="0" applyFont="1" applyAlignment="1">
      <alignment vertical="center" indent="1"/>
    </xf>
    <xf numFmtId="0" fontId="52" fillId="0" borderId="0" xfId="0" applyFont="1" applyAlignment="1">
      <alignment vertical="center" indent="1"/>
    </xf>
    <xf numFmtId="165" fontId="32" fillId="13" borderId="0" xfId="0" applyNumberFormat="1" applyFont="1" applyFill="1" applyAlignment="1">
      <alignment horizontal="center" vertical="center"/>
    </xf>
    <xf numFmtId="0" fontId="11" fillId="12" borderId="0" xfId="0" applyFont="1" applyFill="1" applyAlignment="1">
      <alignment horizontal="center" vertical="center"/>
    </xf>
    <xf numFmtId="164" fontId="53" fillId="10" borderId="0" xfId="0" applyNumberFormat="1" applyFont="1" applyFill="1" applyAlignment="1">
      <alignment horizontal="center" vertical="center"/>
    </xf>
    <xf numFmtId="0" fontId="0" fillId="0" borderId="15" xfId="0" applyBorder="1" applyAlignment="1">
      <alignment indent="1"/>
    </xf>
    <xf numFmtId="0" fontId="0" fillId="0" borderId="16" xfId="0" applyBorder="1" applyAlignment="1">
      <alignment indent="1"/>
    </xf>
    <xf numFmtId="0" fontId="0" fillId="0" borderId="17" xfId="0" applyBorder="1" applyAlignment="1">
      <alignment indent="1"/>
    </xf>
    <xf numFmtId="167" fontId="48" fillId="0" borderId="0" xfId="0" applyNumberFormat="1" applyFont="1" applyAlignment="1">
      <alignment horizontal="center"/>
    </xf>
    <xf numFmtId="3" fontId="48" fillId="0" borderId="0" xfId="0" applyNumberFormat="1" applyFont="1" applyAlignment="1">
      <alignment horizontal="center"/>
    </xf>
    <xf numFmtId="167" fontId="47" fillId="0" borderId="0" xfId="0" applyNumberFormat="1" applyFont="1" applyAlignment="1">
      <alignment horizontal="center"/>
    </xf>
    <xf numFmtId="3" fontId="47" fillId="0" borderId="0" xfId="0" applyNumberFormat="1" applyFont="1" applyAlignment="1">
      <alignment horizontal="center"/>
    </xf>
    <xf numFmtId="0" fontId="50" fillId="0" borderId="12" xfId="0" applyFont="1" applyBorder="1" applyAlignment="1">
      <alignment horizontal="center" vertical="center" wrapText="1"/>
    </xf>
    <xf numFmtId="167" fontId="48" fillId="0" borderId="13" xfId="0" applyNumberFormat="1" applyFont="1" applyBorder="1" applyAlignment="1">
      <alignment horizontal="center"/>
    </xf>
    <xf numFmtId="0" fontId="21" fillId="0" borderId="18" xfId="0" applyFont="1" applyBorder="1" applyAlignment="1">
      <alignment horizontal="left" vertical="center"/>
    </xf>
    <xf numFmtId="0" fontId="6" fillId="0" borderId="18" xfId="0" applyFont="1" applyBorder="1" applyAlignment="1">
      <alignment horizontal="center" vertical="center"/>
    </xf>
    <xf numFmtId="164" fontId="41" fillId="4" borderId="18" xfId="0" applyNumberFormat="1" applyFont="1" applyFill="1" applyBorder="1" applyAlignment="1">
      <alignment horizontal="right" vertical="center"/>
    </xf>
    <xf numFmtId="166" fontId="42" fillId="0" borderId="0" xfId="0" applyNumberFormat="1" applyFont="1" applyAlignment="1">
      <alignment horizontal="right" vertical="center"/>
    </xf>
    <xf numFmtId="164" fontId="43" fillId="0" borderId="6" xfId="0" applyNumberFormat="1" applyFont="1" applyBorder="1" applyAlignment="1">
      <alignment horizontal="right" vertical="center"/>
    </xf>
    <xf numFmtId="0" fontId="11" fillId="0" borderId="0" xfId="0" applyFont="1" applyAlignment="1">
      <alignment horizontal="left" vertical="center"/>
    </xf>
    <xf numFmtId="0" fontId="29" fillId="0" borderId="0" xfId="0" applyFont="1" applyAlignment="1">
      <alignment horizontal="center" vertical="center"/>
    </xf>
    <xf numFmtId="2" fontId="0" fillId="0" borderId="0" xfId="0" applyNumberFormat="1"/>
    <xf numFmtId="170" fontId="29" fillId="2" borderId="0" xfId="0" applyNumberFormat="1" applyFont="1" applyFill="1" applyAlignment="1">
      <alignment horizontal="center" vertical="center"/>
    </xf>
    <xf numFmtId="171" fontId="40" fillId="0" borderId="1" xfId="0" applyNumberFormat="1" applyFont="1" applyBorder="1" applyAlignment="1">
      <alignment horizontal="right" vertical="center"/>
    </xf>
    <xf numFmtId="171" fontId="41" fillId="4" borderId="1" xfId="0" applyNumberFormat="1" applyFont="1" applyFill="1" applyBorder="1" applyAlignment="1">
      <alignment horizontal="right" vertical="center"/>
    </xf>
    <xf numFmtId="0" fontId="55" fillId="15" borderId="0" xfId="0" applyFont="1" applyFill="1"/>
    <xf numFmtId="0" fontId="55" fillId="15" borderId="0" xfId="0" applyFont="1" applyFill="1" applyAlignment="1">
      <alignment horizontal="center"/>
    </xf>
    <xf numFmtId="0" fontId="55" fillId="15" borderId="19" xfId="0" applyFont="1" applyFill="1" applyBorder="1"/>
    <xf numFmtId="0" fontId="56" fillId="15" borderId="19" xfId="0" applyFont="1" applyFill="1" applyBorder="1" applyAlignment="1">
      <alignment horizontal="center"/>
    </xf>
    <xf numFmtId="167" fontId="48" fillId="0" borderId="21" xfId="0" applyNumberFormat="1" applyFont="1" applyBorder="1" applyAlignment="1">
      <alignment horizontal="center"/>
    </xf>
    <xf numFmtId="167" fontId="57" fillId="0" borderId="20" xfId="0" applyNumberFormat="1" applyFont="1" applyBorder="1" applyAlignment="1">
      <alignment horizontal="center" vertical="center"/>
    </xf>
    <xf numFmtId="3" fontId="57" fillId="0" borderId="20" xfId="0" applyNumberFormat="1" applyFont="1" applyBorder="1" applyAlignment="1">
      <alignment horizontal="center" vertical="center"/>
    </xf>
    <xf numFmtId="0" fontId="50" fillId="0" borderId="22" xfId="0" applyFont="1" applyBorder="1" applyAlignment="1">
      <alignment horizontal="center" vertical="center" wrapText="1"/>
    </xf>
    <xf numFmtId="0" fontId="55" fillId="15" borderId="20" xfId="0" applyFont="1" applyFill="1" applyBorder="1" applyAlignment="1">
      <alignment horizontal="center" vertical="center" wrapText="1"/>
    </xf>
    <xf numFmtId="165" fontId="58" fillId="0" borderId="0" xfId="0" applyNumberFormat="1" applyFont="1" applyAlignment="1">
      <alignment horizontal="right" vertical="center"/>
    </xf>
    <xf numFmtId="166" fontId="58" fillId="0" borderId="0" xfId="0" applyNumberFormat="1" applyFont="1" applyAlignment="1">
      <alignment horizontal="right" vertical="center"/>
    </xf>
    <xf numFmtId="164" fontId="58" fillId="0" borderId="0" xfId="0" applyNumberFormat="1" applyFont="1" applyAlignment="1">
      <alignment horizontal="right" vertical="center"/>
    </xf>
    <xf numFmtId="0" fontId="59" fillId="0" borderId="0" xfId="0" applyFont="1"/>
    <xf numFmtId="168" fontId="15" fillId="0" borderId="0" xfId="0" applyNumberFormat="1" applyFont="1"/>
    <xf numFmtId="173" fontId="40" fillId="0" borderId="0" xfId="0" applyNumberFormat="1" applyFont="1" applyAlignment="1">
      <alignment horizontal="right" vertical="center"/>
    </xf>
    <xf numFmtId="169" fontId="40" fillId="0" borderId="0" xfId="0" applyNumberFormat="1" applyFont="1" applyAlignment="1">
      <alignment horizontal="right" vertical="center"/>
    </xf>
    <xf numFmtId="169" fontId="41" fillId="4" borderId="6" xfId="0" applyNumberFormat="1" applyFont="1" applyFill="1" applyBorder="1" applyAlignment="1">
      <alignment horizontal="right" vertical="center"/>
    </xf>
    <xf numFmtId="0" fontId="42" fillId="0" borderId="0" xfId="0" applyFont="1" applyAlignment="1">
      <alignment horizontal="left" vertical="center"/>
    </xf>
    <xf numFmtId="0" fontId="40" fillId="0" borderId="0" xfId="0" applyFont="1" applyAlignment="1">
      <alignment horizontal="center" vertical="center"/>
    </xf>
    <xf numFmtId="165" fontId="40" fillId="0" borderId="0" xfId="2" applyNumberFormat="1" applyFont="1" applyBorder="1" applyAlignment="1">
      <alignment horizontal="right" vertical="center"/>
    </xf>
    <xf numFmtId="0" fontId="40" fillId="0" borderId="0" xfId="0" applyFont="1" applyAlignment="1">
      <alignment horizontal="left" vertical="center"/>
    </xf>
    <xf numFmtId="174" fontId="40" fillId="0" borderId="0" xfId="1" applyNumberFormat="1" applyFont="1" applyBorder="1" applyAlignment="1">
      <alignment horizontal="right" vertical="center"/>
    </xf>
    <xf numFmtId="17" fontId="40" fillId="0" borderId="0" xfId="0" applyNumberFormat="1" applyFont="1" applyAlignment="1">
      <alignment horizontal="center" vertical="center"/>
    </xf>
    <xf numFmtId="168" fontId="40" fillId="0" borderId="0" xfId="1" applyNumberFormat="1" applyFont="1" applyBorder="1" applyAlignment="1">
      <alignment horizontal="right" vertical="center"/>
    </xf>
    <xf numFmtId="0" fontId="43" fillId="0" borderId="3" xfId="0" applyFont="1" applyBorder="1" applyAlignment="1">
      <alignment horizontal="left" vertical="center"/>
    </xf>
    <xf numFmtId="168" fontId="41" fillId="0" borderId="3" xfId="1" applyNumberFormat="1" applyFont="1" applyBorder="1" applyAlignment="1">
      <alignment horizontal="right" vertical="center"/>
    </xf>
    <xf numFmtId="169" fontId="41" fillId="0" borderId="3" xfId="0" applyNumberFormat="1" applyFont="1" applyBorder="1" applyAlignment="1">
      <alignment horizontal="right" vertical="center"/>
    </xf>
    <xf numFmtId="0" fontId="0" fillId="0" borderId="0" xfId="0" applyAlignment="1">
      <alignment horizontal="center"/>
    </xf>
    <xf numFmtId="172" fontId="21" fillId="0" borderId="23" xfId="0" applyNumberFormat="1" applyFont="1" applyBorder="1" applyAlignment="1">
      <alignment horizontal="left" vertical="center"/>
    </xf>
    <xf numFmtId="0" fontId="0" fillId="0" borderId="3" xfId="0" applyBorder="1"/>
    <xf numFmtId="171" fontId="40" fillId="0" borderId="24" xfId="0" applyNumberFormat="1" applyFont="1" applyBorder="1" applyAlignment="1">
      <alignment horizontal="right" vertical="center"/>
    </xf>
    <xf numFmtId="171" fontId="40" fillId="0" borderId="25" xfId="0" applyNumberFormat="1" applyFont="1" applyBorder="1" applyAlignment="1">
      <alignment horizontal="right" vertical="center"/>
    </xf>
    <xf numFmtId="171" fontId="40" fillId="0" borderId="26" xfId="0" applyNumberFormat="1" applyFont="1" applyBorder="1" applyAlignment="1">
      <alignment horizontal="right" vertical="center"/>
    </xf>
    <xf numFmtId="172" fontId="21" fillId="0" borderId="27" xfId="0" applyNumberFormat="1" applyFont="1" applyBorder="1" applyAlignment="1">
      <alignment horizontal="left" vertical="center"/>
    </xf>
    <xf numFmtId="0" fontId="0" fillId="0" borderId="19" xfId="0" applyBorder="1"/>
    <xf numFmtId="171" fontId="40" fillId="0" borderId="28" xfId="0" applyNumberFormat="1" applyFont="1" applyBorder="1" applyAlignment="1">
      <alignment horizontal="right" vertical="center"/>
    </xf>
    <xf numFmtId="171" fontId="40" fillId="0" borderId="29" xfId="0" applyNumberFormat="1" applyFont="1" applyBorder="1" applyAlignment="1">
      <alignment horizontal="right" vertical="center"/>
    </xf>
    <xf numFmtId="169" fontId="30" fillId="0" borderId="16" xfId="0" applyNumberFormat="1" applyFont="1" applyBorder="1" applyAlignment="1">
      <alignment horizontal="right"/>
    </xf>
    <xf numFmtId="3" fontId="30" fillId="0" borderId="16" xfId="0" applyNumberFormat="1" applyFont="1" applyBorder="1" applyAlignment="1">
      <alignment horizontal="right"/>
    </xf>
    <xf numFmtId="172" fontId="21" fillId="0" borderId="30" xfId="0" applyNumberFormat="1" applyFont="1" applyBorder="1" applyAlignment="1">
      <alignment horizontal="left" vertical="center"/>
    </xf>
    <xf numFmtId="0" fontId="0" fillId="0" borderId="32" xfId="0" applyBorder="1"/>
    <xf numFmtId="0" fontId="60" fillId="0" borderId="3" xfId="0" applyFont="1" applyBorder="1" applyAlignment="1">
      <alignment horizontal="center"/>
    </xf>
    <xf numFmtId="0" fontId="60" fillId="0" borderId="31" xfId="0" applyFont="1" applyBorder="1" applyAlignment="1">
      <alignment horizontal="center"/>
    </xf>
    <xf numFmtId="0" fontId="60" fillId="0" borderId="19" xfId="0" applyFont="1" applyBorder="1" applyAlignment="1">
      <alignment horizontal="center"/>
    </xf>
    <xf numFmtId="165" fontId="3" fillId="3" borderId="1" xfId="0" applyNumberFormat="1" applyFont="1" applyFill="1" applyBorder="1" applyAlignment="1" applyProtection="1">
      <alignment horizontal="right" vertical="center"/>
      <protection locked="0"/>
    </xf>
    <xf numFmtId="165" fontId="3" fillId="3" borderId="4" xfId="0" applyNumberFormat="1" applyFont="1" applyFill="1" applyBorder="1" applyAlignment="1" applyProtection="1">
      <alignment horizontal="right" vertical="center"/>
      <protection locked="0"/>
    </xf>
    <xf numFmtId="164" fontId="3" fillId="3" borderId="1" xfId="0" applyNumberFormat="1" applyFont="1" applyFill="1" applyBorder="1" applyAlignment="1" applyProtection="1">
      <alignment horizontal="right" vertical="center"/>
      <protection locked="0"/>
    </xf>
    <xf numFmtId="166" fontId="3" fillId="3" borderId="4" xfId="0" applyNumberFormat="1" applyFont="1" applyFill="1" applyBorder="1" applyAlignment="1" applyProtection="1">
      <alignment horizontal="right" vertical="center"/>
      <protection locked="0"/>
    </xf>
    <xf numFmtId="164" fontId="3" fillId="3" borderId="4" xfId="0" applyNumberFormat="1" applyFont="1" applyFill="1" applyBorder="1" applyAlignment="1" applyProtection="1">
      <alignment horizontal="right" vertical="center"/>
      <protection locked="0"/>
    </xf>
    <xf numFmtId="173" fontId="3" fillId="3" borderId="4" xfId="0" applyNumberFormat="1" applyFont="1" applyFill="1" applyBorder="1" applyAlignment="1" applyProtection="1">
      <alignment horizontal="right" vertical="center"/>
      <protection locked="0"/>
    </xf>
    <xf numFmtId="0" fontId="5" fillId="0" borderId="0" xfId="0" applyFont="1" applyAlignment="1" applyProtection="1">
      <alignment horizontal="left" vertical="center"/>
      <protection locked="0"/>
    </xf>
    <xf numFmtId="164" fontId="54" fillId="0" borderId="0" xfId="0" applyNumberFormat="1" applyFont="1" applyAlignment="1">
      <alignment horizontal="center" vertical="center"/>
    </xf>
    <xf numFmtId="164" fontId="61" fillId="0" borderId="0" xfId="0" applyNumberFormat="1" applyFont="1" applyAlignment="1">
      <alignment horizontal="left" vertical="center"/>
    </xf>
    <xf numFmtId="164" fontId="62" fillId="0" borderId="0" xfId="0" applyNumberFormat="1" applyFont="1" applyAlignment="1">
      <alignment horizontal="left" vertical="top" wrapText="1"/>
    </xf>
    <xf numFmtId="0" fontId="63" fillId="0" borderId="0" xfId="0" applyFont="1" applyAlignment="1">
      <alignment vertical="center" indent="1"/>
    </xf>
  </cellXfs>
  <cellStyles count="4">
    <cellStyle name="Comma" xfId="1" builtinId="3"/>
    <cellStyle name="Hyperlink" xfId="3" builtinId="8"/>
    <cellStyle name="Normal" xfId="0" builtinId="0"/>
    <cellStyle name="Percent" xfId="2" builtinId="5"/>
  </cellStyles>
  <dxfs count="8">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ont>
        <color rgb="FF9C0006"/>
      </font>
    </dxf>
  </dxfs>
  <tableStyles count="0" defaultTableStyle="TableStyleMedium9" defaultPivotStyle="PivotStyleLight16"/>
  <colors>
    <mruColors>
      <color rgb="FF0432FF"/>
      <color rgb="FF0F18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Revenue by segment (EUR '000)</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stacked"/>
        <c:varyColors val="0"/>
        <c:ser>
          <c:idx val="1"/>
          <c:order val="0"/>
          <c:tx>
            <c:v>Ride-hailing</c:v>
          </c:tx>
          <c:spPr>
            <a:solidFill>
              <a:schemeClr val="tx2"/>
            </a:solidFill>
            <a:ln>
              <a:noFill/>
            </a:ln>
            <a:effectLst/>
          </c:spPr>
          <c:invertIfNegative val="0"/>
          <c:cat>
            <c:strRef>
              <c:f>c_FS!$E$4:$I$4</c:f>
              <c:strCache>
                <c:ptCount val="5"/>
                <c:pt idx="0">
                  <c:v>2024A</c:v>
                </c:pt>
                <c:pt idx="1">
                  <c:v>2025A</c:v>
                </c:pt>
                <c:pt idx="2">
                  <c:v>2026E</c:v>
                </c:pt>
                <c:pt idx="3">
                  <c:v>2027E</c:v>
                </c:pt>
                <c:pt idx="4">
                  <c:v>2028E</c:v>
                </c:pt>
              </c:strCache>
            </c:strRef>
          </c:cat>
          <c:val>
            <c:numRef>
              <c:f>c_FS!$E$8:$I$8</c:f>
              <c:numCache>
                <c:formatCode>_(* #,##0_);_(* \(#,##0\);_(* "-"??_);_(@_)</c:formatCode>
                <c:ptCount val="5"/>
                <c:pt idx="0">
                  <c:v>1633907</c:v>
                </c:pt>
                <c:pt idx="1">
                  <c:v>1847432</c:v>
                </c:pt>
                <c:pt idx="2">
                  <c:v>2069123.84</c:v>
                </c:pt>
                <c:pt idx="3">
                  <c:v>2296727.4624000001</c:v>
                </c:pt>
                <c:pt idx="4">
                  <c:v>2526400.2086400003</c:v>
                </c:pt>
              </c:numCache>
            </c:numRef>
          </c:val>
          <c:extLst>
            <c:ext xmlns:c16="http://schemas.microsoft.com/office/drawing/2014/chart" uri="{C3380CC4-5D6E-409C-BE32-E72D297353CC}">
              <c16:uniqueId val="{00000001-B7D4-EE41-BAC5-96AC82C93B54}"/>
            </c:ext>
          </c:extLst>
        </c:ser>
        <c:ser>
          <c:idx val="2"/>
          <c:order val="1"/>
          <c:tx>
            <c:v>Food &amp; goods delivery</c:v>
          </c:tx>
          <c:spPr>
            <a:solidFill>
              <a:srgbClr val="0070C0"/>
            </a:solidFill>
            <a:ln>
              <a:noFill/>
            </a:ln>
            <a:effectLst/>
          </c:spPr>
          <c:invertIfNegative val="0"/>
          <c:cat>
            <c:strRef>
              <c:f>c_FS!$E$4:$I$4</c:f>
              <c:strCache>
                <c:ptCount val="5"/>
                <c:pt idx="0">
                  <c:v>2024A</c:v>
                </c:pt>
                <c:pt idx="1">
                  <c:v>2025A</c:v>
                </c:pt>
                <c:pt idx="2">
                  <c:v>2026E</c:v>
                </c:pt>
                <c:pt idx="3">
                  <c:v>2027E</c:v>
                </c:pt>
                <c:pt idx="4">
                  <c:v>2028E</c:v>
                </c:pt>
              </c:strCache>
            </c:strRef>
          </c:cat>
          <c:val>
            <c:numRef>
              <c:f>c_FS!$E$9:$I$9</c:f>
              <c:numCache>
                <c:formatCode>_(* #,##0_);_(* \(#,##0\);_(* "-"??_);_(@_)</c:formatCode>
                <c:ptCount val="5"/>
                <c:pt idx="0">
                  <c:v>185469</c:v>
                </c:pt>
                <c:pt idx="1">
                  <c:v>240737</c:v>
                </c:pt>
                <c:pt idx="2">
                  <c:v>284069.65999999997</c:v>
                </c:pt>
                <c:pt idx="3">
                  <c:v>329520.80559999996</c:v>
                </c:pt>
                <c:pt idx="4">
                  <c:v>375653.71838400001</c:v>
                </c:pt>
              </c:numCache>
            </c:numRef>
          </c:val>
          <c:extLst>
            <c:ext xmlns:c16="http://schemas.microsoft.com/office/drawing/2014/chart" uri="{C3380CC4-5D6E-409C-BE32-E72D297353CC}">
              <c16:uniqueId val="{00000002-B7D4-EE41-BAC5-96AC82C93B54}"/>
            </c:ext>
          </c:extLst>
        </c:ser>
        <c:ser>
          <c:idx val="3"/>
          <c:order val="2"/>
          <c:tx>
            <c:v>Rental services</c:v>
          </c:tx>
          <c:spPr>
            <a:solidFill>
              <a:schemeClr val="accent5"/>
            </a:solidFill>
            <a:ln>
              <a:noFill/>
            </a:ln>
            <a:effectLst/>
          </c:spPr>
          <c:invertIfNegative val="0"/>
          <c:cat>
            <c:strRef>
              <c:f>c_FS!$E$4:$I$4</c:f>
              <c:strCache>
                <c:ptCount val="5"/>
                <c:pt idx="0">
                  <c:v>2024A</c:v>
                </c:pt>
                <c:pt idx="1">
                  <c:v>2025A</c:v>
                </c:pt>
                <c:pt idx="2">
                  <c:v>2026E</c:v>
                </c:pt>
                <c:pt idx="3">
                  <c:v>2027E</c:v>
                </c:pt>
                <c:pt idx="4">
                  <c:v>2028E</c:v>
                </c:pt>
              </c:strCache>
            </c:strRef>
          </c:cat>
          <c:val>
            <c:numRef>
              <c:f>c_FS!$E$10:$I$10</c:f>
              <c:numCache>
                <c:formatCode>_(* #,##0_);_(* \(#,##0\);_(* "-"??_);_(@_)</c:formatCode>
                <c:ptCount val="5"/>
                <c:pt idx="0">
                  <c:v>172678</c:v>
                </c:pt>
                <c:pt idx="1">
                  <c:v>182685</c:v>
                </c:pt>
                <c:pt idx="2">
                  <c:v>210087.74999999997</c:v>
                </c:pt>
                <c:pt idx="3">
                  <c:v>241600.91249999995</c:v>
                </c:pt>
                <c:pt idx="4">
                  <c:v>270593.02199999994</c:v>
                </c:pt>
              </c:numCache>
            </c:numRef>
          </c:val>
          <c:extLst>
            <c:ext xmlns:c16="http://schemas.microsoft.com/office/drawing/2014/chart" uri="{C3380CC4-5D6E-409C-BE32-E72D297353CC}">
              <c16:uniqueId val="{00000003-B7D4-EE41-BAC5-96AC82C93B54}"/>
            </c:ext>
          </c:extLst>
        </c:ser>
        <c:dLbls>
          <c:showLegendKey val="0"/>
          <c:showVal val="0"/>
          <c:showCatName val="0"/>
          <c:showSerName val="0"/>
          <c:showPercent val="0"/>
          <c:showBubbleSize val="0"/>
        </c:dLbls>
        <c:gapWidth val="50"/>
        <c:overlap val="100"/>
        <c:axId val="2001206304"/>
        <c:axId val="873168128"/>
      </c:barChart>
      <c:catAx>
        <c:axId val="20012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68128"/>
        <c:crosses val="autoZero"/>
        <c:auto val="1"/>
        <c:lblAlgn val="ctr"/>
        <c:lblOffset val="100"/>
        <c:noMultiLvlLbl val="0"/>
      </c:catAx>
      <c:valAx>
        <c:axId val="87316812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0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Implied share price by valuation methodology (EUR / share)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1"/>
          <c:order val="0"/>
          <c:tx>
            <c:v>DCF</c:v>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o_Valuation!$D$29</c:f>
              <c:numCache>
                <c:formatCode>\€#,##0.00</c:formatCode>
                <c:ptCount val="1"/>
                <c:pt idx="0">
                  <c:v>91.609220811255369</c:v>
                </c:pt>
              </c:numCache>
            </c:numRef>
          </c:val>
          <c:extLst>
            <c:ext xmlns:c16="http://schemas.microsoft.com/office/drawing/2014/chart" uri="{C3380CC4-5D6E-409C-BE32-E72D297353CC}">
              <c16:uniqueId val="{00000001-7EA7-4B44-BCB2-B5CC07B27189}"/>
            </c:ext>
          </c:extLst>
        </c:ser>
        <c:ser>
          <c:idx val="2"/>
          <c:order val="1"/>
          <c:tx>
            <c:v>EV / Sales</c:v>
          </c:tx>
          <c:spPr>
            <a:solidFill>
              <a:schemeClr val="accent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o_Valuation!$D$37</c:f>
              <c:numCache>
                <c:formatCode>\€#,##0.00</c:formatCode>
                <c:ptCount val="1"/>
                <c:pt idx="0">
                  <c:v>213.22989863241841</c:v>
                </c:pt>
              </c:numCache>
            </c:numRef>
          </c:val>
          <c:extLst>
            <c:ext xmlns:c16="http://schemas.microsoft.com/office/drawing/2014/chart" uri="{C3380CC4-5D6E-409C-BE32-E72D297353CC}">
              <c16:uniqueId val="{00000002-7EA7-4B44-BCB2-B5CC07B27189}"/>
            </c:ext>
          </c:extLst>
        </c:ser>
        <c:ser>
          <c:idx val="3"/>
          <c:order val="2"/>
          <c:tx>
            <c:v>EV / EBITDA</c:v>
          </c:tx>
          <c:spPr>
            <a:solidFill>
              <a:schemeClr val="accent3">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o_Valuation!$D$43</c:f>
              <c:numCache>
                <c:formatCode>\€#,##0.00</c:formatCode>
                <c:ptCount val="1"/>
                <c:pt idx="0">
                  <c:v>67.286563590942578</c:v>
                </c:pt>
              </c:numCache>
            </c:numRef>
          </c:val>
          <c:extLst>
            <c:ext xmlns:c16="http://schemas.microsoft.com/office/drawing/2014/chart" uri="{C3380CC4-5D6E-409C-BE32-E72D297353CC}">
              <c16:uniqueId val="{00000003-7EA7-4B44-BCB2-B5CC07B27189}"/>
            </c:ext>
          </c:extLst>
        </c:ser>
        <c:ser>
          <c:idx val="4"/>
          <c:order val="3"/>
          <c:tx>
            <c:v>Blended pre-money</c:v>
          </c:tx>
          <c:spPr>
            <a:solidFill>
              <a:schemeClr val="tx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o_Valuation!$D$55</c:f>
              <c:numCache>
                <c:formatCode>\€#,##0.00</c:formatCode>
                <c:ptCount val="1"/>
                <c:pt idx="0">
                  <c:v>152.41955972183689</c:v>
                </c:pt>
              </c:numCache>
            </c:numRef>
          </c:val>
          <c:extLst>
            <c:ext xmlns:c16="http://schemas.microsoft.com/office/drawing/2014/chart" uri="{C3380CC4-5D6E-409C-BE32-E72D297353CC}">
              <c16:uniqueId val="{00000004-7EA7-4B44-BCB2-B5CC07B27189}"/>
            </c:ext>
          </c:extLst>
        </c:ser>
        <c:ser>
          <c:idx val="5"/>
          <c:order val="4"/>
          <c:tx>
            <c:v>IPO price (post-discount)</c:v>
          </c:tx>
          <c:spPr>
            <a:solidFill>
              <a:schemeClr val="accent5">
                <a:lumMod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o_Valuation!$D$56</c:f>
              <c:numCache>
                <c:formatCode>\€#,##0.00</c:formatCode>
                <c:ptCount val="1"/>
                <c:pt idx="0">
                  <c:v>141.75019054130829</c:v>
                </c:pt>
              </c:numCache>
            </c:numRef>
          </c:val>
          <c:extLst>
            <c:ext xmlns:c16="http://schemas.microsoft.com/office/drawing/2014/chart" uri="{C3380CC4-5D6E-409C-BE32-E72D297353CC}">
              <c16:uniqueId val="{00000005-7EA7-4B44-BCB2-B5CC07B27189}"/>
            </c:ext>
          </c:extLst>
        </c:ser>
        <c:dLbls>
          <c:showLegendKey val="0"/>
          <c:showVal val="0"/>
          <c:showCatName val="0"/>
          <c:showSerName val="0"/>
          <c:showPercent val="0"/>
          <c:showBubbleSize val="0"/>
        </c:dLbls>
        <c:gapWidth val="219"/>
        <c:overlap val="-27"/>
        <c:axId val="196931839"/>
        <c:axId val="196916943"/>
      </c:barChart>
      <c:catAx>
        <c:axId val="196931839"/>
        <c:scaling>
          <c:orientation val="minMax"/>
        </c:scaling>
        <c:delete val="1"/>
        <c:axPos val="b"/>
        <c:majorTickMark val="none"/>
        <c:minorTickMark val="none"/>
        <c:tickLblPos val="nextTo"/>
        <c:crossAx val="196916943"/>
        <c:crosses val="autoZero"/>
        <c:auto val="1"/>
        <c:lblAlgn val="ctr"/>
        <c:lblOffset val="100"/>
        <c:noMultiLvlLbl val="0"/>
      </c:catAx>
      <c:valAx>
        <c:axId val="19691694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31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EBITDA &amp; FCFF vs Net cash (EUR '000)</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1"/>
          <c:order val="0"/>
          <c:tx>
            <c:v>EBITDA</c:v>
          </c:tx>
          <c:spPr>
            <a:solidFill>
              <a:srgbClr val="1F386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o_FS!$E$4:$I$4</c:f>
              <c:strCache>
                <c:ptCount val="5"/>
                <c:pt idx="0">
                  <c:v>2024A</c:v>
                </c:pt>
                <c:pt idx="1">
                  <c:v>2025A</c:v>
                </c:pt>
                <c:pt idx="2">
                  <c:v>2026E</c:v>
                </c:pt>
                <c:pt idx="3">
                  <c:v>2027E</c:v>
                </c:pt>
                <c:pt idx="4">
                  <c:v>2028E</c:v>
                </c:pt>
              </c:strCache>
            </c:strRef>
          </c:cat>
          <c:val>
            <c:numRef>
              <c:f>o_FS!$E$20:$I$20</c:f>
              <c:numCache>
                <c:formatCode>_(* #,##0_);_(* \(#,##0\);_(* "-"??_);_(@_)</c:formatCode>
                <c:ptCount val="5"/>
                <c:pt idx="0">
                  <c:v>-30298</c:v>
                </c:pt>
                <c:pt idx="1">
                  <c:v>76672</c:v>
                </c:pt>
                <c:pt idx="2">
                  <c:v>92570.71875</c:v>
                </c:pt>
                <c:pt idx="3">
                  <c:v>183438.2631225001</c:v>
                </c:pt>
                <c:pt idx="4">
                  <c:v>292518.0561768004</c:v>
                </c:pt>
              </c:numCache>
            </c:numRef>
          </c:val>
          <c:extLst>
            <c:ext xmlns:c16="http://schemas.microsoft.com/office/drawing/2014/chart" uri="{C3380CC4-5D6E-409C-BE32-E72D297353CC}">
              <c16:uniqueId val="{00000001-D905-8F43-9650-296BB47C02CD}"/>
            </c:ext>
          </c:extLst>
        </c:ser>
        <c:ser>
          <c:idx val="2"/>
          <c:order val="1"/>
          <c:tx>
            <c:v>Free Cash Flow to Firm</c:v>
          </c:tx>
          <c:spPr>
            <a:solidFill>
              <a:srgbClr val="70AD47"/>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o_FS!$E$4:$I$4</c:f>
              <c:strCache>
                <c:ptCount val="5"/>
                <c:pt idx="0">
                  <c:v>2024A</c:v>
                </c:pt>
                <c:pt idx="1">
                  <c:v>2025A</c:v>
                </c:pt>
                <c:pt idx="2">
                  <c:v>2026E</c:v>
                </c:pt>
                <c:pt idx="3">
                  <c:v>2027E</c:v>
                </c:pt>
                <c:pt idx="4">
                  <c:v>2028E</c:v>
                </c:pt>
              </c:strCache>
            </c:strRef>
          </c:cat>
          <c:val>
            <c:numRef>
              <c:f>o_FS!$E$35:$I$35</c:f>
              <c:numCache>
                <c:formatCode>_(* #,##0_);_(* \(#,##0\);_(* "-"??_);_(@_)</c:formatCode>
                <c:ptCount val="5"/>
                <c:pt idx="0">
                  <c:v>-34486.300000000003</c:v>
                </c:pt>
                <c:pt idx="1">
                  <c:v>48622.119999999995</c:v>
                </c:pt>
                <c:pt idx="2">
                  <c:v>39064.744648972614</c:v>
                </c:pt>
                <c:pt idx="3">
                  <c:v>91447.670551303483</c:v>
                </c:pt>
                <c:pt idx="4">
                  <c:v>188373.00718525331</c:v>
                </c:pt>
              </c:numCache>
            </c:numRef>
          </c:val>
          <c:extLst>
            <c:ext xmlns:c16="http://schemas.microsoft.com/office/drawing/2014/chart" uri="{C3380CC4-5D6E-409C-BE32-E72D297353CC}">
              <c16:uniqueId val="{00000002-D905-8F43-9650-296BB47C02CD}"/>
            </c:ext>
          </c:extLst>
        </c:ser>
        <c:dLbls>
          <c:showLegendKey val="0"/>
          <c:showVal val="0"/>
          <c:showCatName val="0"/>
          <c:showSerName val="0"/>
          <c:showPercent val="0"/>
          <c:showBubbleSize val="0"/>
        </c:dLbls>
        <c:gapWidth val="219"/>
        <c:overlap val="-27"/>
        <c:axId val="1844338784"/>
        <c:axId val="1843653440"/>
      </c:barChart>
      <c:lineChart>
        <c:grouping val="standard"/>
        <c:varyColors val="0"/>
        <c:ser>
          <c:idx val="3"/>
          <c:order val="2"/>
          <c:tx>
            <c:v>Closing cash</c:v>
          </c:tx>
          <c:spPr>
            <a:ln w="28575" cap="rnd">
              <a:solidFill>
                <a:srgbClr val="ED7D31"/>
              </a:solidFill>
              <a:prstDash val="solid"/>
              <a:round/>
            </a:ln>
            <a:effectLst/>
          </c:spPr>
          <c:marker>
            <c:symbol val="circle"/>
            <c:size val="6"/>
            <c:spPr>
              <a:solidFill>
                <a:srgbClr val="ED7D31"/>
              </a:solidFill>
              <a:ln w="9525">
                <a:solidFill>
                  <a:srgbClr val="ED7D31"/>
                </a:solidFill>
                <a:prstDash val="solid"/>
              </a:ln>
              <a:effectLst/>
            </c:spPr>
          </c:marker>
          <c:cat>
            <c:strRef>
              <c:f>o_FS!$E$4:$I$4</c:f>
              <c:strCache>
                <c:ptCount val="5"/>
                <c:pt idx="0">
                  <c:v>2024A</c:v>
                </c:pt>
                <c:pt idx="1">
                  <c:v>2025A</c:v>
                </c:pt>
                <c:pt idx="2">
                  <c:v>2026E</c:v>
                </c:pt>
                <c:pt idx="3">
                  <c:v>2027E</c:v>
                </c:pt>
                <c:pt idx="4">
                  <c:v>2028E</c:v>
                </c:pt>
              </c:strCache>
            </c:strRef>
          </c:cat>
          <c:val>
            <c:numRef>
              <c:f>o_FS!$E$39:$I$39</c:f>
              <c:numCache>
                <c:formatCode>_(* #,##0_);_(* \(#,##0\);_(* "-"??_);_(@_)</c:formatCode>
                <c:ptCount val="5"/>
                <c:pt idx="0">
                  <c:v>342247</c:v>
                </c:pt>
                <c:pt idx="1">
                  <c:v>357038</c:v>
                </c:pt>
                <c:pt idx="2">
                  <c:v>384660.83190148778</c:v>
                </c:pt>
                <c:pt idx="3">
                  <c:v>465465.84478947567</c:v>
                </c:pt>
                <c:pt idx="4">
                  <c:v>644276.36686017038</c:v>
                </c:pt>
              </c:numCache>
            </c:numRef>
          </c:val>
          <c:smooth val="0"/>
          <c:extLst>
            <c:ext xmlns:c16="http://schemas.microsoft.com/office/drawing/2014/chart" uri="{C3380CC4-5D6E-409C-BE32-E72D297353CC}">
              <c16:uniqueId val="{00000003-D905-8F43-9650-296BB47C02CD}"/>
            </c:ext>
          </c:extLst>
        </c:ser>
        <c:ser>
          <c:idx val="4"/>
          <c:order val="3"/>
          <c:tx>
            <c:v>Net cash / (net debt)</c:v>
          </c:tx>
          <c:spPr>
            <a:ln w="28575" cap="rnd">
              <a:solidFill>
                <a:srgbClr val="A5A5A5"/>
              </a:solidFill>
              <a:prstDash val="solid"/>
              <a:round/>
            </a:ln>
            <a:effectLst/>
          </c:spPr>
          <c:marker>
            <c:symbol val="circle"/>
            <c:size val="6"/>
            <c:spPr>
              <a:solidFill>
                <a:srgbClr val="A5A5A5"/>
              </a:solidFill>
              <a:ln w="9525">
                <a:solidFill>
                  <a:srgbClr val="A5A5A5"/>
                </a:solidFill>
                <a:prstDash val="solid"/>
              </a:ln>
              <a:effectLst/>
            </c:spPr>
          </c:marker>
          <c:cat>
            <c:strRef>
              <c:f>o_FS!$E$4:$I$4</c:f>
              <c:strCache>
                <c:ptCount val="5"/>
                <c:pt idx="0">
                  <c:v>2024A</c:v>
                </c:pt>
                <c:pt idx="1">
                  <c:v>2025A</c:v>
                </c:pt>
                <c:pt idx="2">
                  <c:v>2026E</c:v>
                </c:pt>
                <c:pt idx="3">
                  <c:v>2027E</c:v>
                </c:pt>
                <c:pt idx="4">
                  <c:v>2028E</c:v>
                </c:pt>
              </c:strCache>
            </c:strRef>
          </c:cat>
          <c:val>
            <c:numRef>
              <c:f>o_FS!$E$42:$I$42</c:f>
              <c:numCache>
                <c:formatCode>_(* #,##0_);_(* \(#,##0\);_(* "-"??_);_(@_)</c:formatCode>
                <c:ptCount val="5"/>
                <c:pt idx="0">
                  <c:v>104873</c:v>
                </c:pt>
                <c:pt idx="1">
                  <c:v>249474</c:v>
                </c:pt>
                <c:pt idx="2">
                  <c:v>287896.0663009726</c:v>
                </c:pt>
                <c:pt idx="3">
                  <c:v>379736.54060432699</c:v>
                </c:pt>
                <c:pt idx="4">
                  <c:v>570402.45887354994</c:v>
                </c:pt>
              </c:numCache>
            </c:numRef>
          </c:val>
          <c:smooth val="0"/>
          <c:extLst>
            <c:ext xmlns:c16="http://schemas.microsoft.com/office/drawing/2014/chart" uri="{C3380CC4-5D6E-409C-BE32-E72D297353CC}">
              <c16:uniqueId val="{00000004-D905-8F43-9650-296BB47C02CD}"/>
            </c:ext>
          </c:extLst>
        </c:ser>
        <c:dLbls>
          <c:showLegendKey val="0"/>
          <c:showVal val="0"/>
          <c:showCatName val="0"/>
          <c:showSerName val="0"/>
          <c:showPercent val="0"/>
          <c:showBubbleSize val="0"/>
        </c:dLbls>
        <c:marker val="1"/>
        <c:smooth val="0"/>
        <c:axId val="890918960"/>
        <c:axId val="1920877616"/>
      </c:lineChart>
      <c:catAx>
        <c:axId val="184433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653440"/>
        <c:crosses val="autoZero"/>
        <c:auto val="1"/>
        <c:lblAlgn val="ctr"/>
        <c:lblOffset val="100"/>
        <c:noMultiLvlLbl val="0"/>
      </c:catAx>
      <c:valAx>
        <c:axId val="1843653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EBITDA / FCFF</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38784"/>
        <c:crosses val="autoZero"/>
        <c:crossBetween val="between"/>
      </c:valAx>
      <c:valAx>
        <c:axId val="1920877616"/>
        <c:scaling>
          <c:orientation val="minMax"/>
          <c:min val="0"/>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Cash / net cash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18960"/>
        <c:crosses val="max"/>
        <c:crossBetween val="between"/>
      </c:valAx>
      <c:catAx>
        <c:axId val="890918960"/>
        <c:scaling>
          <c:orientation val="minMax"/>
        </c:scaling>
        <c:delete val="1"/>
        <c:axPos val="b"/>
        <c:numFmt formatCode="General" sourceLinked="1"/>
        <c:majorTickMark val="out"/>
        <c:minorTickMark val="none"/>
        <c:tickLblPos val="nextTo"/>
        <c:crossAx val="19208776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o_FS'!A1"/><Relationship Id="rId3" Type="http://schemas.openxmlformats.org/officeDocument/2006/relationships/hyperlink" Target="#'Output>>'!A1"/><Relationship Id="rId7" Type="http://schemas.openxmlformats.org/officeDocument/2006/relationships/hyperlink" Target="#'o_Valuation'!A1"/><Relationship Id="rId2" Type="http://schemas.openxmlformats.org/officeDocument/2006/relationships/hyperlink" Target="#'Calcs>>'!A1"/><Relationship Id="rId1" Type="http://schemas.openxmlformats.org/officeDocument/2006/relationships/hyperlink" Target="#'Input>>'!A1"/><Relationship Id="rId6" Type="http://schemas.openxmlformats.org/officeDocument/2006/relationships/hyperlink" Target="#'c_FS'!A1"/><Relationship Id="rId5" Type="http://schemas.openxmlformats.org/officeDocument/2006/relationships/hyperlink" Target="#'i_Inputs'!A1"/><Relationship Id="rId4" Type="http://schemas.openxmlformats.org/officeDocument/2006/relationships/hyperlink" Target="#'i_Historical'!A1"/><Relationship Id="rId9" Type="http://schemas.openxmlformats.org/officeDocument/2006/relationships/hyperlink" Target="#o_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Contents'!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Contents'!A1"/></Relationships>
</file>

<file path=xl/drawings/_rels/drawing4.xml.rels><?xml version="1.0" encoding="UTF-8" standalone="yes"?>
<Relationships xmlns="http://schemas.openxmlformats.org/package/2006/relationships"><Relationship Id="rId1" Type="http://schemas.openxmlformats.org/officeDocument/2006/relationships/hyperlink" Target="#'Contents'!A1"/></Relationships>
</file>

<file path=xl/drawings/_rels/drawing5.xml.rels><?xml version="1.0" encoding="UTF-8" standalone="yes"?>
<Relationships xmlns="http://schemas.openxmlformats.org/package/2006/relationships"><Relationship Id="rId1" Type="http://schemas.openxmlformats.org/officeDocument/2006/relationships/hyperlink" Target="#'Contents'!A1"/></Relationships>
</file>

<file path=xl/drawings/_rels/drawing6.xml.rels><?xml version="1.0" encoding="UTF-8" standalone="yes"?>
<Relationships xmlns="http://schemas.openxmlformats.org/package/2006/relationships"><Relationship Id="rId1" Type="http://schemas.openxmlformats.org/officeDocument/2006/relationships/hyperlink" Target="#'Contents'!A1"/></Relationships>
</file>

<file path=xl/drawings/_rels/drawing7.xml.rels><?xml version="1.0" encoding="UTF-8" standalone="yes"?>
<Relationships xmlns="http://schemas.openxmlformats.org/package/2006/relationships"><Relationship Id="rId1" Type="http://schemas.openxmlformats.org/officeDocument/2006/relationships/hyperlink" Target="#'Contents'!A1"/></Relationships>
</file>

<file path=xl/drawings/_rels/drawing8.xml.rels><?xml version="1.0" encoding="UTF-8" standalone="yes"?>
<Relationships xmlns="http://schemas.openxmlformats.org/package/2006/relationships"><Relationship Id="rId1" Type="http://schemas.openxmlformats.org/officeDocument/2006/relationships/hyperlink" Target="#'Contents'!A1"/></Relationships>
</file>

<file path=xl/drawings/_rels/drawing9.xml.rels><?xml version="1.0" encoding="UTF-8" standalone="yes"?>
<Relationships xmlns="http://schemas.openxmlformats.org/package/2006/relationships"><Relationship Id="rId1" Type="http://schemas.openxmlformats.org/officeDocument/2006/relationships/hyperlink" Target="#'Contents'!A1"/></Relationships>
</file>

<file path=xl/drawings/_rels/drawing10.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0</xdr:col>
      <xdr:colOff>279400</xdr:colOff>
      <xdr:row>5</xdr:row>
      <xdr:rowOff>25400</xdr:rowOff>
    </xdr:from>
    <xdr:to>
      <xdr:col>2</xdr:col>
      <xdr:colOff>520700</xdr:colOff>
      <xdr:row>9</xdr:row>
      <xdr:rowOff>63500</xdr:rowOff>
    </xdr:to>
    <xdr:sp macro="" textlink="">
      <xdr:nvSpPr>
        <xdr:cNvPr id="8" name="Input&gt;&gt;">
          <a:hlinkClick xmlns:r="http://schemas.openxmlformats.org/officeDocument/2006/relationships" r:id="rId1"/>
          <a:extLst>
            <a:ext uri="{FF2B5EF4-FFF2-40B4-BE49-F238E27FC236}">
              <a16:creationId xmlns:a16="http://schemas.microsoft.com/office/drawing/2014/main" id="{96837579-7A80-0A4C-9F42-A2E5E16B24B0}"/>
            </a:ext>
          </a:extLst>
        </xdr:cNvPr>
        <xdr:cNvSpPr/>
      </xdr:nvSpPr>
      <xdr:spPr>
        <a:xfrm>
          <a:off x="279400" y="1206500"/>
          <a:ext cx="2171700" cy="8128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Input&gt;&gt;</a:t>
          </a:r>
        </a:p>
      </xdr:txBody>
    </xdr:sp>
    <xdr:clientData/>
  </xdr:twoCellAnchor>
  <xdr:twoCellAnchor>
    <xdr:from>
      <xdr:col>0</xdr:col>
      <xdr:colOff>279400</xdr:colOff>
      <xdr:row>10</xdr:row>
      <xdr:rowOff>25400</xdr:rowOff>
    </xdr:from>
    <xdr:to>
      <xdr:col>2</xdr:col>
      <xdr:colOff>520700</xdr:colOff>
      <xdr:row>14</xdr:row>
      <xdr:rowOff>28222</xdr:rowOff>
    </xdr:to>
    <xdr:sp macro="" textlink="">
      <xdr:nvSpPr>
        <xdr:cNvPr id="9" name="Calcs&gt;&gt;">
          <a:hlinkClick xmlns:r="http://schemas.openxmlformats.org/officeDocument/2006/relationships" r:id="rId2"/>
          <a:extLst>
            <a:ext uri="{FF2B5EF4-FFF2-40B4-BE49-F238E27FC236}">
              <a16:creationId xmlns:a16="http://schemas.microsoft.com/office/drawing/2014/main" id="{CF3FF2CA-6CFC-E446-BD2B-80CDC1BF883A}"/>
            </a:ext>
          </a:extLst>
        </xdr:cNvPr>
        <xdr:cNvSpPr/>
      </xdr:nvSpPr>
      <xdr:spPr>
        <a:xfrm>
          <a:off x="279400" y="2171700"/>
          <a:ext cx="2171700" cy="790222"/>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Calcs&gt;&gt;</a:t>
          </a:r>
        </a:p>
      </xdr:txBody>
    </xdr:sp>
    <xdr:clientData/>
  </xdr:twoCellAnchor>
  <xdr:twoCellAnchor>
    <xdr:from>
      <xdr:col>0</xdr:col>
      <xdr:colOff>279400</xdr:colOff>
      <xdr:row>14</xdr:row>
      <xdr:rowOff>190500</xdr:rowOff>
    </xdr:from>
    <xdr:to>
      <xdr:col>2</xdr:col>
      <xdr:colOff>520700</xdr:colOff>
      <xdr:row>18</xdr:row>
      <xdr:rowOff>190500</xdr:rowOff>
    </xdr:to>
    <xdr:sp macro="" textlink="">
      <xdr:nvSpPr>
        <xdr:cNvPr id="10" name="Ouput&gt;&gt;">
          <a:hlinkClick xmlns:r="http://schemas.openxmlformats.org/officeDocument/2006/relationships" r:id="rId3"/>
          <a:extLst>
            <a:ext uri="{FF2B5EF4-FFF2-40B4-BE49-F238E27FC236}">
              <a16:creationId xmlns:a16="http://schemas.microsoft.com/office/drawing/2014/main" id="{1C5B21E8-324E-604E-A402-6B14E07DBF60}"/>
            </a:ext>
          </a:extLst>
        </xdr:cNvPr>
        <xdr:cNvSpPr/>
      </xdr:nvSpPr>
      <xdr:spPr>
        <a:xfrm>
          <a:off x="279400" y="3124200"/>
          <a:ext cx="2171700" cy="812800"/>
        </a:xfrm>
        <a:prstGeom prst="roundRect">
          <a:avLst/>
        </a:prstGeom>
        <a:solidFill>
          <a:srgbClr val="000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Output&gt;&gt;</a:t>
          </a:r>
        </a:p>
      </xdr:txBody>
    </xdr:sp>
    <xdr:clientData/>
  </xdr:twoCellAnchor>
  <xdr:twoCellAnchor>
    <xdr:from>
      <xdr:col>2</xdr:col>
      <xdr:colOff>671805</xdr:colOff>
      <xdr:row>5</xdr:row>
      <xdr:rowOff>25400</xdr:rowOff>
    </xdr:from>
    <xdr:to>
      <xdr:col>3</xdr:col>
      <xdr:colOff>2186669</xdr:colOff>
      <xdr:row>9</xdr:row>
      <xdr:rowOff>63500</xdr:rowOff>
    </xdr:to>
    <xdr:sp macro="" textlink="">
      <xdr:nvSpPr>
        <xdr:cNvPr id="11" name="i_Historical">
          <a:hlinkClick xmlns:r="http://schemas.openxmlformats.org/officeDocument/2006/relationships" r:id="rId4"/>
          <a:extLst>
            <a:ext uri="{FF2B5EF4-FFF2-40B4-BE49-F238E27FC236}">
              <a16:creationId xmlns:a16="http://schemas.microsoft.com/office/drawing/2014/main" id="{6CB7B654-4C1B-174C-912A-E5D863D61E0A}"/>
            </a:ext>
          </a:extLst>
        </xdr:cNvPr>
        <xdr:cNvSpPr/>
      </xdr:nvSpPr>
      <xdr:spPr>
        <a:xfrm>
          <a:off x="2602205" y="1206500"/>
          <a:ext cx="3419864" cy="812800"/>
        </a:xfrm>
        <a:prstGeom prst="roundRect">
          <a:avLst/>
        </a:prstGeom>
        <a:solidFill>
          <a:srgbClr val="FFC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i_Historical</a:t>
          </a:r>
        </a:p>
        <a:p>
          <a:pPr algn="ctr"/>
          <a:endParaRPr lang="en-US" sz="1000" b="1">
            <a:solidFill>
              <a:srgbClr val="000000"/>
            </a:solidFill>
            <a:latin typeface="Arial" panose="020B0604020202020204" pitchFamily="34" charset="0"/>
          </a:endParaRPr>
        </a:p>
        <a:p>
          <a:pPr algn="ctr"/>
          <a:r>
            <a:rPr lang="en-US" sz="1000" b="0">
              <a:solidFill>
                <a:srgbClr val="000000"/>
              </a:solidFill>
              <a:latin typeface="Arial" panose="020B0604020202020204" pitchFamily="34" charset="0"/>
            </a:rPr>
            <a:t>includes audited actuals</a:t>
          </a:r>
          <a:r>
            <a:rPr lang="en-US" sz="1000" b="0" baseline="0">
              <a:solidFill>
                <a:srgbClr val="000000"/>
              </a:solidFill>
              <a:latin typeface="Arial" panose="020B0604020202020204" pitchFamily="34" charset="0"/>
            </a:rPr>
            <a:t> for FY24-25</a:t>
          </a:r>
          <a:endParaRPr lang="en-US" sz="1000" b="0">
            <a:solidFill>
              <a:srgbClr val="000000"/>
            </a:solidFill>
            <a:latin typeface="Arial" panose="020B0604020202020204" pitchFamily="34" charset="0"/>
          </a:endParaRPr>
        </a:p>
      </xdr:txBody>
    </xdr:sp>
    <xdr:clientData/>
  </xdr:twoCellAnchor>
  <xdr:twoCellAnchor>
    <xdr:from>
      <xdr:col>4</xdr:col>
      <xdr:colOff>0</xdr:colOff>
      <xdr:row>5</xdr:row>
      <xdr:rowOff>25400</xdr:rowOff>
    </xdr:from>
    <xdr:to>
      <xdr:col>8</xdr:col>
      <xdr:colOff>12700</xdr:colOff>
      <xdr:row>9</xdr:row>
      <xdr:rowOff>63500</xdr:rowOff>
    </xdr:to>
    <xdr:sp macro="" textlink="">
      <xdr:nvSpPr>
        <xdr:cNvPr id="12" name="i_Inputs">
          <a:hlinkClick xmlns:r="http://schemas.openxmlformats.org/officeDocument/2006/relationships" r:id="rId5"/>
          <a:extLst>
            <a:ext uri="{FF2B5EF4-FFF2-40B4-BE49-F238E27FC236}">
              <a16:creationId xmlns:a16="http://schemas.microsoft.com/office/drawing/2014/main" id="{7671F14C-A985-A845-B48C-515761AB5EC1}"/>
            </a:ext>
          </a:extLst>
        </xdr:cNvPr>
        <xdr:cNvSpPr/>
      </xdr:nvSpPr>
      <xdr:spPr>
        <a:xfrm>
          <a:off x="6756400" y="1206500"/>
          <a:ext cx="3441700" cy="812800"/>
        </a:xfrm>
        <a:prstGeom prst="roundRect">
          <a:avLst/>
        </a:prstGeom>
        <a:solidFill>
          <a:srgbClr val="FFC000"/>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i_Inputs</a:t>
          </a:r>
        </a:p>
        <a:p>
          <a:pPr algn="ctr"/>
          <a:endParaRPr lang="en-US" sz="1000" b="1">
            <a:solidFill>
              <a:srgbClr val="000000"/>
            </a:solidFill>
            <a:latin typeface="Arial" panose="020B0604020202020204" pitchFamily="34" charset="0"/>
          </a:endParaRPr>
        </a:p>
        <a:p>
          <a:pPr algn="ctr"/>
          <a:r>
            <a:rPr lang="en-US" sz="1000" b="0">
              <a:solidFill>
                <a:srgbClr val="000000"/>
              </a:solidFill>
              <a:latin typeface="Arial" panose="020B0604020202020204" pitchFamily="34" charset="0"/>
            </a:rPr>
            <a:t>includes forecast drivers &amp; model</a:t>
          </a:r>
          <a:r>
            <a:rPr lang="en-US" sz="1000" b="0" baseline="0">
              <a:solidFill>
                <a:srgbClr val="000000"/>
              </a:solidFill>
              <a:latin typeface="Arial" panose="020B0604020202020204" pitchFamily="34" charset="0"/>
            </a:rPr>
            <a:t> assumptions</a:t>
          </a:r>
          <a:endParaRPr lang="en-US" sz="1000" b="0">
            <a:solidFill>
              <a:srgbClr val="000000"/>
            </a:solidFill>
            <a:latin typeface="Arial" panose="020B0604020202020204" pitchFamily="34" charset="0"/>
          </a:endParaRPr>
        </a:p>
      </xdr:txBody>
    </xdr:sp>
    <xdr:clientData/>
  </xdr:twoCellAnchor>
  <xdr:twoCellAnchor>
    <xdr:from>
      <xdr:col>2</xdr:col>
      <xdr:colOff>661291</xdr:colOff>
      <xdr:row>10</xdr:row>
      <xdr:rowOff>40341</xdr:rowOff>
    </xdr:from>
    <xdr:to>
      <xdr:col>3</xdr:col>
      <xdr:colOff>2184400</xdr:colOff>
      <xdr:row>14</xdr:row>
      <xdr:rowOff>43165</xdr:rowOff>
    </xdr:to>
    <xdr:sp macro="" textlink="">
      <xdr:nvSpPr>
        <xdr:cNvPr id="13" name="c_FS">
          <a:hlinkClick xmlns:r="http://schemas.openxmlformats.org/officeDocument/2006/relationships" r:id="rId6"/>
          <a:extLst>
            <a:ext uri="{FF2B5EF4-FFF2-40B4-BE49-F238E27FC236}">
              <a16:creationId xmlns:a16="http://schemas.microsoft.com/office/drawing/2014/main" id="{DB058F4D-F58B-2349-B474-07B0AB7BD248}"/>
            </a:ext>
          </a:extLst>
        </xdr:cNvPr>
        <xdr:cNvSpPr/>
      </xdr:nvSpPr>
      <xdr:spPr>
        <a:xfrm>
          <a:off x="2591691" y="2186641"/>
          <a:ext cx="3428109" cy="790224"/>
        </a:xfrm>
        <a:prstGeom prst="roundRect">
          <a:avLst/>
        </a:prstGeom>
        <a:solidFill>
          <a:srgbClr val="4BACC6"/>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000000"/>
              </a:solidFill>
              <a:latin typeface="Arial" panose="020B0604020202020204" pitchFamily="34" charset="0"/>
            </a:rPr>
            <a:t>c_FS</a:t>
          </a:r>
        </a:p>
        <a:p>
          <a:pPr algn="ctr"/>
          <a:endParaRPr lang="en-US" sz="1000" b="1">
            <a:solidFill>
              <a:srgbClr val="000000"/>
            </a:solidFill>
            <a:latin typeface="Arial" panose="020B0604020202020204" pitchFamily="34" charset="0"/>
          </a:endParaRPr>
        </a:p>
        <a:p>
          <a:pPr algn="ctr"/>
          <a:r>
            <a:rPr lang="en-US" sz="1000" b="0">
              <a:solidFill>
                <a:srgbClr val="000000"/>
              </a:solidFill>
              <a:latin typeface="Arial" panose="020B0604020202020204" pitchFamily="34" charset="0"/>
            </a:rPr>
            <a:t>comprises calculation schedules including</a:t>
          </a:r>
          <a:r>
            <a:rPr lang="en-US" sz="1000" b="0" baseline="0">
              <a:solidFill>
                <a:srgbClr val="000000"/>
              </a:solidFill>
              <a:latin typeface="Arial" panose="020B0604020202020204" pitchFamily="34" charset="0"/>
            </a:rPr>
            <a:t> </a:t>
          </a:r>
          <a:r>
            <a:rPr lang="en-US" sz="1000" b="0">
              <a:solidFill>
                <a:srgbClr val="000000"/>
              </a:solidFill>
              <a:latin typeface="Arial" panose="020B0604020202020204" pitchFamily="34" charset="0"/>
            </a:rPr>
            <a:t>revenue, opex, NWC, fixed assets, debt, and leases</a:t>
          </a:r>
        </a:p>
      </xdr:txBody>
    </xdr:sp>
    <xdr:clientData/>
  </xdr:twoCellAnchor>
  <xdr:twoCellAnchor>
    <xdr:from>
      <xdr:col>4</xdr:col>
      <xdr:colOff>0</xdr:colOff>
      <xdr:row>14</xdr:row>
      <xdr:rowOff>190499</xdr:rowOff>
    </xdr:from>
    <xdr:to>
      <xdr:col>7</xdr:col>
      <xdr:colOff>800100</xdr:colOff>
      <xdr:row>18</xdr:row>
      <xdr:rowOff>190501</xdr:rowOff>
    </xdr:to>
    <xdr:sp macro="" textlink="">
      <xdr:nvSpPr>
        <xdr:cNvPr id="14" name="o_Valuation">
          <a:hlinkClick xmlns:r="http://schemas.openxmlformats.org/officeDocument/2006/relationships" r:id="rId7"/>
          <a:extLst>
            <a:ext uri="{FF2B5EF4-FFF2-40B4-BE49-F238E27FC236}">
              <a16:creationId xmlns:a16="http://schemas.microsoft.com/office/drawing/2014/main" id="{0BEA691D-7613-8A40-8DAF-FE8C0B10DC2E}"/>
            </a:ext>
          </a:extLst>
        </xdr:cNvPr>
        <xdr:cNvSpPr/>
      </xdr:nvSpPr>
      <xdr:spPr>
        <a:xfrm>
          <a:off x="6719046" y="3124199"/>
          <a:ext cx="3440954" cy="812802"/>
        </a:xfrm>
        <a:prstGeom prst="roundRect">
          <a:avLst/>
        </a:prstGeom>
        <a:solidFill>
          <a:srgbClr val="1F497D"/>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o_Valuation</a:t>
          </a:r>
        </a:p>
        <a:p>
          <a:pPr algn="ctr"/>
          <a:endParaRPr lang="en-US" sz="1000" b="1">
            <a:solidFill>
              <a:srgbClr val="FFFFFF"/>
            </a:solidFill>
            <a:latin typeface="Arial" panose="020B0604020202020204" pitchFamily="34" charset="0"/>
          </a:endParaRPr>
        </a:p>
        <a:p>
          <a:pPr algn="ctr"/>
          <a:r>
            <a:rPr lang="en-US" sz="1000" b="0">
              <a:solidFill>
                <a:srgbClr val="FFFFFF"/>
              </a:solidFill>
              <a:latin typeface="Arial" panose="020B0604020202020204" pitchFamily="34" charset="0"/>
            </a:rPr>
            <a:t>produces</a:t>
          </a:r>
          <a:r>
            <a:rPr lang="en-US" sz="1000" b="0" baseline="0">
              <a:solidFill>
                <a:srgbClr val="FFFFFF"/>
              </a:solidFill>
              <a:latin typeface="Arial" panose="020B0604020202020204" pitchFamily="34" charset="0"/>
            </a:rPr>
            <a:t> </a:t>
          </a:r>
          <a:r>
            <a:rPr lang="en-US" sz="1000" b="0">
              <a:solidFill>
                <a:srgbClr val="FFFFFF"/>
              </a:solidFill>
              <a:latin typeface="Arial" panose="020B0604020202020204" pitchFamily="34" charset="0"/>
            </a:rPr>
            <a:t>DCF, comparables, and weighted</a:t>
          </a:r>
          <a:r>
            <a:rPr lang="en-US" sz="1000" b="0" baseline="0">
              <a:solidFill>
                <a:srgbClr val="FFFFFF"/>
              </a:solidFill>
              <a:latin typeface="Arial" panose="020B0604020202020204" pitchFamily="34" charset="0"/>
            </a:rPr>
            <a:t> </a:t>
          </a:r>
          <a:r>
            <a:rPr lang="en-US" sz="1000" b="0">
              <a:solidFill>
                <a:srgbClr val="FFFFFF"/>
              </a:solidFill>
              <a:latin typeface="Arial" panose="020B0604020202020204" pitchFamily="34" charset="0"/>
            </a:rPr>
            <a:t>IPO pricing</a:t>
          </a:r>
          <a:r>
            <a:rPr lang="en-US" sz="1000" b="0" baseline="0">
              <a:solidFill>
                <a:srgbClr val="FFFFFF"/>
              </a:solidFill>
              <a:latin typeface="Arial" panose="020B0604020202020204" pitchFamily="34" charset="0"/>
            </a:rPr>
            <a:t> along with a sensitivity matrix view</a:t>
          </a:r>
        </a:p>
        <a:p>
          <a:pPr algn="ctr"/>
          <a:endParaRPr lang="en-US" sz="1000" b="0">
            <a:solidFill>
              <a:srgbClr val="FFFFFF"/>
            </a:solidFill>
            <a:latin typeface="Arial" panose="020B0604020202020204" pitchFamily="34" charset="0"/>
          </a:endParaRPr>
        </a:p>
      </xdr:txBody>
    </xdr:sp>
    <xdr:clientData/>
  </xdr:twoCellAnchor>
  <xdr:twoCellAnchor>
    <xdr:from>
      <xdr:col>2</xdr:col>
      <xdr:colOff>660400</xdr:colOff>
      <xdr:row>14</xdr:row>
      <xdr:rowOff>190500</xdr:rowOff>
    </xdr:from>
    <xdr:to>
      <xdr:col>3</xdr:col>
      <xdr:colOff>2183825</xdr:colOff>
      <xdr:row>18</xdr:row>
      <xdr:rowOff>190500</xdr:rowOff>
    </xdr:to>
    <xdr:sp macro="" textlink="">
      <xdr:nvSpPr>
        <xdr:cNvPr id="16" name="o_FS">
          <a:hlinkClick xmlns:r="http://schemas.openxmlformats.org/officeDocument/2006/relationships" r:id="rId8"/>
          <a:extLst>
            <a:ext uri="{FF2B5EF4-FFF2-40B4-BE49-F238E27FC236}">
              <a16:creationId xmlns:a16="http://schemas.microsoft.com/office/drawing/2014/main" id="{E7E2B63D-2EE3-0D49-B77E-CFDDD771C2E5}"/>
            </a:ext>
          </a:extLst>
        </xdr:cNvPr>
        <xdr:cNvSpPr/>
      </xdr:nvSpPr>
      <xdr:spPr>
        <a:xfrm>
          <a:off x="2590800" y="3124200"/>
          <a:ext cx="3428425" cy="812800"/>
        </a:xfrm>
        <a:prstGeom prst="roundRect">
          <a:avLst/>
        </a:prstGeom>
        <a:solidFill>
          <a:srgbClr val="1F497D"/>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o_FS</a:t>
          </a:r>
        </a:p>
        <a:p>
          <a:pPr algn="ctr"/>
          <a:endParaRPr lang="en-US" sz="1000" b="1">
            <a:solidFill>
              <a:srgbClr val="FFFFFF"/>
            </a:solidFill>
            <a:latin typeface="Arial" panose="020B0604020202020204" pitchFamily="34" charset="0"/>
          </a:endParaRPr>
        </a:p>
        <a:p>
          <a:pPr algn="ctr"/>
          <a:r>
            <a:rPr lang="en-US" sz="1000" b="0">
              <a:solidFill>
                <a:srgbClr val="FFFFFF"/>
              </a:solidFill>
              <a:latin typeface="Arial" panose="020B0604020202020204" pitchFamily="34" charset="0"/>
            </a:rPr>
            <a:t>produces income statement, FCFF, cash &amp; net debt profiles</a:t>
          </a:r>
        </a:p>
      </xdr:txBody>
    </xdr:sp>
    <xdr:clientData/>
  </xdr:twoCellAnchor>
  <xdr:twoCellAnchor>
    <xdr:from>
      <xdr:col>8</xdr:col>
      <xdr:colOff>101600</xdr:colOff>
      <xdr:row>14</xdr:row>
      <xdr:rowOff>190500</xdr:rowOff>
    </xdr:from>
    <xdr:to>
      <xdr:col>12</xdr:col>
      <xdr:colOff>240554</xdr:colOff>
      <xdr:row>18</xdr:row>
      <xdr:rowOff>190502</xdr:rowOff>
    </xdr:to>
    <xdr:sp macro="" textlink="">
      <xdr:nvSpPr>
        <xdr:cNvPr id="2" name="o_Valuation">
          <a:hlinkClick xmlns:r="http://schemas.openxmlformats.org/officeDocument/2006/relationships" r:id="rId9"/>
          <a:extLst>
            <a:ext uri="{FF2B5EF4-FFF2-40B4-BE49-F238E27FC236}">
              <a16:creationId xmlns:a16="http://schemas.microsoft.com/office/drawing/2014/main" id="{A86F8839-027E-AA46-B199-4E0BA012C928}"/>
            </a:ext>
          </a:extLst>
        </xdr:cNvPr>
        <xdr:cNvSpPr/>
      </xdr:nvSpPr>
      <xdr:spPr>
        <a:xfrm>
          <a:off x="9550400" y="3124200"/>
          <a:ext cx="3440954" cy="812802"/>
        </a:xfrm>
        <a:prstGeom prst="roundRect">
          <a:avLst/>
        </a:prstGeom>
        <a:solidFill>
          <a:srgbClr val="1F497D"/>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rgbClr val="FFFFFF"/>
              </a:solidFill>
              <a:latin typeface="Arial" panose="020B0604020202020204" pitchFamily="34" charset="0"/>
            </a:rPr>
            <a:t>o_Dashboard</a:t>
          </a:r>
        </a:p>
        <a:p>
          <a:pPr algn="ctr"/>
          <a:endParaRPr lang="en-US" sz="1000" b="1">
            <a:solidFill>
              <a:srgbClr val="FFFFFF"/>
            </a:solidFill>
            <a:latin typeface="Arial" panose="020B0604020202020204" pitchFamily="34" charset="0"/>
          </a:endParaRPr>
        </a:p>
        <a:p>
          <a:pPr algn="ctr"/>
          <a:r>
            <a:rPr lang="en-US" sz="1000" b="0" baseline="0">
              <a:solidFill>
                <a:srgbClr val="FFFFFF"/>
              </a:solidFill>
              <a:latin typeface="Arial" panose="020B0604020202020204" pitchFamily="34" charset="0"/>
            </a:rPr>
            <a:t>comprises </a:t>
          </a:r>
          <a:r>
            <a:rPr lang="en-US" sz="1000" b="0">
              <a:solidFill>
                <a:srgbClr val="FFFFFF"/>
              </a:solidFill>
              <a:latin typeface="Arial" panose="020B0604020202020204" pitchFamily="34" charset="0"/>
            </a:rPr>
            <a:t>executive summary and charts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1048575</xdr:row>
      <xdr:rowOff>181356</xdr:rowOff>
    </xdr:from>
    <xdr:to>
      <xdr:col>16384</xdr:col>
      <xdr:colOff>1524000</xdr:colOff>
      <xdr:row>1048576</xdr:row>
      <xdr:rowOff>-9144</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80D1E779-277B-F21D-2573-86401DAFC008}"/>
            </a:ext>
          </a:extLst>
        </xdr:cNvPr>
        <xdr:cNvSpPr/>
      </xdr:nvSpPr>
      <xdr:spPr>
        <a:xfrm>
          <a:off x="0" y="-9144"/>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129209</xdr:colOff>
      <xdr:row>26</xdr:row>
      <xdr:rowOff>193257</xdr:rowOff>
    </xdr:from>
    <xdr:to>
      <xdr:col>7</xdr:col>
      <xdr:colOff>0</xdr:colOff>
      <xdr:row>41</xdr:row>
      <xdr:rowOff>179456</xdr:rowOff>
    </xdr:to>
    <xdr:graphicFrame macro="">
      <xdr:nvGraphicFramePr>
        <xdr:cNvPr id="6" name="Chart 5">
          <a:extLst>
            <a:ext uri="{FF2B5EF4-FFF2-40B4-BE49-F238E27FC236}">
              <a16:creationId xmlns:a16="http://schemas.microsoft.com/office/drawing/2014/main" id="{B2C1A2D4-5537-85A8-CD8C-F49C8FD9E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146141</xdr:colOff>
      <xdr:row>6</xdr:row>
      <xdr:rowOff>32580</xdr:rowOff>
    </xdr:from>
    <xdr:to>
      <xdr:col>6</xdr:col>
      <xdr:colOff>1449455</xdr:colOff>
      <xdr:row>10</xdr:row>
      <xdr:rowOff>386523</xdr:rowOff>
    </xdr:to>
    <xdr:graphicFrame macro="">
      <xdr:nvGraphicFramePr>
        <xdr:cNvPr id="9" name="Chart 8">
          <a:extLst>
            <a:ext uri="{FF2B5EF4-FFF2-40B4-BE49-F238E27FC236}">
              <a16:creationId xmlns:a16="http://schemas.microsoft.com/office/drawing/2014/main" id="{ECE18FDB-8098-84A3-BEF0-1F24B21D9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138044</xdr:colOff>
      <xdr:row>42</xdr:row>
      <xdr:rowOff>156817</xdr:rowOff>
    </xdr:from>
    <xdr:to>
      <xdr:col>7</xdr:col>
      <xdr:colOff>0</xdr:colOff>
      <xdr:row>62</xdr:row>
      <xdr:rowOff>27609</xdr:rowOff>
    </xdr:to>
    <xdr:graphicFrame macro="">
      <xdr:nvGraphicFramePr>
        <xdr:cNvPr id="10" name="Chart_Combo_CashEBITDA">
          <a:extLst>
            <a:ext uri="{FF2B5EF4-FFF2-40B4-BE49-F238E27FC236}">
              <a16:creationId xmlns:a16="http://schemas.microsoft.com/office/drawing/2014/main" id="{60A37003-B664-7F8F-878D-8CD27A7E3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1409700</xdr:colOff>
      <xdr:row>0</xdr:row>
      <xdr:rowOff>127000</xdr:rowOff>
    </xdr:from>
    <xdr:to>
      <xdr:col>6</xdr:col>
      <xdr:colOff>1406878</xdr:colOff>
      <xdr:row>1</xdr:row>
      <xdr:rowOff>56444</xdr:rowOff>
    </xdr:to>
    <xdr:sp macro="" textlink="">
      <xdr:nvSpPr>
        <xdr:cNvPr id="2" name="BackToContentsGDAT">
          <a:hlinkClick xmlns:r="http://schemas.openxmlformats.org/officeDocument/2006/relationships" r:id="rId4"/>
          <a:extLst>
            <a:ext uri="{FF2B5EF4-FFF2-40B4-BE49-F238E27FC236}">
              <a16:creationId xmlns:a16="http://schemas.microsoft.com/office/drawing/2014/main" id="{64F2BD83-8377-7847-B429-37112F37DE55}"/>
            </a:ext>
          </a:extLst>
        </xdr:cNvPr>
        <xdr:cNvSpPr/>
      </xdr:nvSpPr>
      <xdr:spPr>
        <a:xfrm>
          <a:off x="10426700" y="127000"/>
          <a:ext cx="1521178" cy="196144"/>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7056</xdr:rowOff>
    </xdr:from>
    <xdr:to>
      <xdr:col>1</xdr:col>
      <xdr:colOff>987778</xdr:colOff>
      <xdr:row>3</xdr:row>
      <xdr:rowOff>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6699BFC5-58C4-0020-D653-65AF18FC1331}"/>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1143000</xdr:colOff>
      <xdr:row>2</xdr:row>
      <xdr:rowOff>190500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2415D9F3-1AE6-D272-507D-B26AC25186C6}"/>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-9144</xdr:rowOff>
    </xdr:from>
    <xdr:to>
      <xdr:col>16384</xdr:col>
      <xdr:colOff>1524000</xdr:colOff>
      <xdr:row>1048575</xdr:row>
      <xdr:rowOff>181356</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DDC0F0AA-BEB9-A065-4221-4DABB257C516}"/>
            </a:ext>
          </a:extLst>
        </xdr:cNvPr>
        <xdr:cNvSpPr/>
      </xdr:nvSpPr>
      <xdr:spPr>
        <a:xfrm>
          <a:off x="0" y="-9144"/>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1104900</xdr:colOff>
      <xdr:row>2</xdr:row>
      <xdr:rowOff>190500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01C08BE8-65BB-0525-11A1-775E89EA8625}"/>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-9144</xdr:rowOff>
    </xdr:from>
    <xdr:to>
      <xdr:col>16384</xdr:col>
      <xdr:colOff>1524000</xdr:colOff>
      <xdr:row>1048575</xdr:row>
      <xdr:rowOff>181356</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862D1271-DD0D-5B69-0974-94DC521B2930}"/>
            </a:ext>
          </a:extLst>
        </xdr:cNvPr>
        <xdr:cNvSpPr/>
      </xdr:nvSpPr>
      <xdr:spPr>
        <a:xfrm>
          <a:off x="0" y="-9144"/>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1054100</xdr:colOff>
      <xdr:row>2</xdr:row>
      <xdr:rowOff>190500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FDA1DC8C-ACD3-13D7-D643-C21F1BC5018F}"/>
            </a:ext>
          </a:extLst>
        </xdr:cNvPr>
        <xdr:cNvSpPr/>
      </xdr:nvSpPr>
      <xdr:spPr>
        <a:xfrm>
          <a:off x="0" y="571500"/>
          <a:ext cx="1524000" cy="1905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1016000</xdr:colOff>
      <xdr:row>3</xdr:row>
      <xdr:rowOff>25400</xdr:rowOff>
    </xdr:to>
    <xdr:sp macro="" textlink="">
      <xdr:nvSpPr>
        <xdr:cNvPr id="2" name="BackToContentsGDAT">
          <a:hlinkClick xmlns:r="http://schemas.openxmlformats.org/officeDocument/2006/relationships" r:id="rId1"/>
          <a:extLst>
            <a:ext uri="{FF2B5EF4-FFF2-40B4-BE49-F238E27FC236}">
              <a16:creationId xmlns:a16="http://schemas.microsoft.com/office/drawing/2014/main" id="{77523193-79BA-A8A9-107C-918519F7151D}"/>
            </a:ext>
          </a:extLst>
        </xdr:cNvPr>
        <xdr:cNvSpPr/>
      </xdr:nvSpPr>
      <xdr:spPr>
        <a:xfrm>
          <a:off x="0" y="575733"/>
          <a:ext cx="1397000" cy="228600"/>
        </a:xfrm>
        <a:prstGeom prst="roundRect">
          <a:avLst/>
        </a:prstGeom>
        <a:solidFill>
          <a:srgbClr val="EAEAEA"/>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rgbClr val="000000"/>
              </a:solidFill>
            </a:rPr>
            <a:t>Back to Contents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632BAC-D046-AB4A-B6C2-1170523998F5}">
  <we:reference id="wa200005502" version="1.0.0.13" store="en-US" storeType="OMEX"/>
  <we:alternateReferences>
    <we:reference id="wa200005502" version="1.0.0.13" store="wa200005502" storeType="OMEX"/>
  </we:alternateReferences>
  <we:properties>
    <we:property name="docId" value="&quot;eiXBoxDKKS0OJ3wCr-KJ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inforegister.ee/en/12417834-BOLT-TECHNOLOGY-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54BF-0F64-6F44-99C9-3296C6C48469}">
  <sheetPr>
    <tabColor theme="1"/>
  </sheetPr>
  <dimension ref="A1:D32"/>
  <sheetViews>
    <sheetView showGridLines="0" tabSelected="1" zoomScaleNormal="100" workbookViewId="0">
      <selection activeCell="B28" sqref="B28"/>
    </sheetView>
  </sheetViews>
  <sheetFormatPr baseColWidth="10" defaultRowHeight="16" x14ac:dyDescent="0.2"/>
  <cols>
    <col min="1" max="1" width="3.83203125" customWidth="1"/>
    <col min="2" max="2" width="21.5" style="5" customWidth="1"/>
    <col min="3" max="3" width="25" customWidth="1"/>
    <col min="4" max="4" width="30.33203125" customWidth="1"/>
  </cols>
  <sheetData>
    <row r="1" spans="1:3" ht="29" x14ac:dyDescent="0.35">
      <c r="A1" s="9" t="s">
        <v>263</v>
      </c>
    </row>
    <row r="2" spans="1:3" x14ac:dyDescent="0.2">
      <c r="A2" s="69" t="s">
        <v>130</v>
      </c>
    </row>
    <row r="4" spans="1:3" s="7" customFormat="1" x14ac:dyDescent="0.2">
      <c r="A4" s="10" t="s">
        <v>127</v>
      </c>
      <c r="B4" s="44" t="s">
        <v>128</v>
      </c>
    </row>
    <row r="6" spans="1:3" x14ac:dyDescent="0.2">
      <c r="B6" s="140"/>
      <c r="C6" s="70"/>
    </row>
    <row r="7" spans="1:3" ht="15" x14ac:dyDescent="0.2">
      <c r="B7" s="141"/>
    </row>
    <row r="8" spans="1:3" ht="15" x14ac:dyDescent="0.2">
      <c r="B8" s="141"/>
    </row>
    <row r="9" spans="1:3" ht="15" x14ac:dyDescent="0.2">
      <c r="B9" s="141"/>
    </row>
    <row r="10" spans="1:3" ht="15" x14ac:dyDescent="0.2">
      <c r="B10" s="141"/>
    </row>
    <row r="11" spans="1:3" ht="15" x14ac:dyDescent="0.2">
      <c r="B11" s="141"/>
    </row>
    <row r="12" spans="1:3" ht="15" x14ac:dyDescent="0.2">
      <c r="B12" s="141"/>
    </row>
    <row r="21" spans="1:4" s="7" customFormat="1" x14ac:dyDescent="0.2">
      <c r="A21" s="7" t="s">
        <v>127</v>
      </c>
      <c r="B21" s="44" t="s">
        <v>145</v>
      </c>
    </row>
    <row r="22" spans="1:4" x14ac:dyDescent="0.2">
      <c r="B22" s="82"/>
    </row>
    <row r="23" spans="1:4" ht="16" customHeight="1" x14ac:dyDescent="0.2">
      <c r="B23" s="145" t="s">
        <v>240</v>
      </c>
      <c r="C23" s="143" t="s">
        <v>241</v>
      </c>
      <c r="D23" s="144" t="s">
        <v>247</v>
      </c>
    </row>
    <row r="24" spans="1:4" ht="16" customHeight="1" x14ac:dyDescent="0.2">
      <c r="B24" s="146" t="s">
        <v>242</v>
      </c>
      <c r="C24" s="143" t="s">
        <v>243</v>
      </c>
      <c r="D24" s="144" t="s">
        <v>248</v>
      </c>
    </row>
    <row r="25" spans="1:4" ht="16" customHeight="1" x14ac:dyDescent="0.2">
      <c r="B25" s="147" t="s">
        <v>244</v>
      </c>
      <c r="C25" s="143" t="s">
        <v>257</v>
      </c>
      <c r="D25" s="144" t="s">
        <v>258</v>
      </c>
    </row>
    <row r="26" spans="1:4" ht="16" customHeight="1" x14ac:dyDescent="0.2">
      <c r="B26" s="142" t="s">
        <v>245</v>
      </c>
      <c r="C26" s="143" t="s">
        <v>246</v>
      </c>
      <c r="D26" s="144" t="s">
        <v>249</v>
      </c>
    </row>
    <row r="27" spans="1:4" x14ac:dyDescent="0.2">
      <c r="B27" s="219"/>
      <c r="C27" s="143"/>
      <c r="D27" s="144"/>
    </row>
    <row r="28" spans="1:4" ht="15" x14ac:dyDescent="0.2">
      <c r="B28" s="222" t="s">
        <v>280</v>
      </c>
      <c r="C28" s="144"/>
      <c r="D28" s="144"/>
    </row>
    <row r="29" spans="1:4" x14ac:dyDescent="0.2">
      <c r="B29" s="220"/>
      <c r="C29" s="143"/>
      <c r="D29" s="144"/>
    </row>
    <row r="30" spans="1:4" ht="96" customHeight="1" x14ac:dyDescent="0.2">
      <c r="B30" s="221" t="s">
        <v>279</v>
      </c>
      <c r="C30" s="221"/>
      <c r="D30" s="221"/>
    </row>
    <row r="32" spans="1:4" s="7" customFormat="1" x14ac:dyDescent="0.2">
      <c r="A32" s="7" t="s">
        <v>127</v>
      </c>
      <c r="B32" s="44" t="s">
        <v>129</v>
      </c>
    </row>
  </sheetData>
  <sheetProtection algorithmName="SHA-512" hashValue="kFI45apri6oeUUw+NQmcJkEb+anwV94JvbGx52O2ty70I4knc7vf4evJHVJ701LTLkHKbKmYd18fC1uaenAo0A==" saltValue="QBfsf6Jtr+JlNm9fva5mUg==" spinCount="100000" sheet="1" objects="1" scenarios="1" formatColumns="0" formatRows="0" sort="0" autoFilter="0"/>
  <mergeCells count="1">
    <mergeCell ref="B30:D30"/>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5210B-4F42-0B4C-B131-753C07A929A8}">
  <dimension ref="A1"/>
  <sheetViews>
    <sheetView topLeftCell="XFD1048576" workbookViewId="0"/>
  </sheetViews>
  <sheetFormatPr baseColWidth="10" defaultColWidth="0" defaultRowHeight="15" zeroHeight="1" x14ac:dyDescent="0.2"/>
  <cols>
    <col min="1" max="16384" width="10.83203125" hidden="1"/>
  </cols>
  <sheetData/>
  <sheetProtection algorithmName="SHA-512" hashValue="Iq0ac5foD13LIXIpo7jykaTyhZ9LEQDhSQlRJJ66qJ6YMrrkUUOfd4IX5UaGug1kZmOtqzt7m8rH/l2v06aMyA==" saltValue="Z+c5xMhpMgvuJ9aV1TKIaA==" spinCount="100000" sheet="1" objects="1" scenarios="1" formatColumns="0" formatRows="0" sort="0" autoFilter="0"/>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B56D-DC95-1D41-9245-8B9F23C86689}">
  <sheetPr>
    <tabColor theme="3"/>
    <pageSetUpPr fitToPage="1"/>
  </sheetPr>
  <dimension ref="A1:H64"/>
  <sheetViews>
    <sheetView showGridLines="0" showRowColHeaders="0" zoomScaleNormal="100" workbookViewId="0"/>
  </sheetViews>
  <sheetFormatPr baseColWidth="10" defaultColWidth="0" defaultRowHeight="15" x14ac:dyDescent="0.2"/>
  <cols>
    <col min="1" max="1" width="2" customWidth="1"/>
    <col min="2" max="2" width="56.33203125" customWidth="1"/>
    <col min="3" max="7" width="20" customWidth="1"/>
    <col min="8" max="8" width="2.33203125" customWidth="1"/>
    <col min="9" max="16384" width="10.83203125" hidden="1"/>
  </cols>
  <sheetData>
    <row r="1" spans="1:7" ht="21" x14ac:dyDescent="0.25">
      <c r="A1" s="123" t="str">
        <f>Contents!$A1</f>
        <v>Bolt Technology OÜ - Draft Valuation Model</v>
      </c>
      <c r="B1" s="123"/>
    </row>
    <row r="2" spans="1:7" x14ac:dyDescent="0.2">
      <c r="A2" s="121" t="str">
        <f>Contents!$A2</f>
        <v>Source: Bolt Technology OÜ Consolidated Annual Report 2025 (AS PricewaterhouseCoopers audit)</v>
      </c>
      <c r="B2" s="121"/>
    </row>
    <row r="3" spans="1:7" x14ac:dyDescent="0.2">
      <c r="A3" s="124" t="s">
        <v>250</v>
      </c>
      <c r="B3" s="124"/>
    </row>
    <row r="5" spans="1:7" s="7" customFormat="1" ht="16" x14ac:dyDescent="0.2">
      <c r="A5" s="10" t="s">
        <v>127</v>
      </c>
      <c r="B5" s="44" t="s">
        <v>237</v>
      </c>
    </row>
    <row r="6" spans="1:7" ht="8" customHeight="1" thickBot="1" x14ac:dyDescent="0.25">
      <c r="A6" s="53"/>
      <c r="B6" s="82"/>
    </row>
    <row r="7" spans="1:7" ht="42" customHeight="1" thickTop="1" x14ac:dyDescent="0.2">
      <c r="B7" s="176" t="str">
        <f>o_Valuation!B56</f>
        <v>Target Price with 7% IPO Discount</v>
      </c>
      <c r="C7" s="175"/>
      <c r="D7" s="155"/>
    </row>
    <row r="8" spans="1:7" ht="34" customHeight="1" thickBot="1" x14ac:dyDescent="0.3">
      <c r="B8" s="173">
        <f>o_Valuation!D56</f>
        <v>141.75019054130829</v>
      </c>
      <c r="C8" s="172"/>
      <c r="D8" s="156"/>
    </row>
    <row r="9" spans="1:7" ht="8" customHeight="1" thickTop="1" x14ac:dyDescent="0.2"/>
    <row r="10" spans="1:7" ht="34" customHeight="1" x14ac:dyDescent="0.25">
      <c r="B10" s="176" t="str">
        <f>o_Valuation!B50</f>
        <v>Blended Target Pre-Money Equity Value</v>
      </c>
      <c r="C10" s="153"/>
      <c r="D10" s="153"/>
      <c r="E10" s="153"/>
      <c r="F10" s="153"/>
      <c r="G10" s="154"/>
    </row>
    <row r="11" spans="1:7" ht="34" customHeight="1" x14ac:dyDescent="0.25">
      <c r="B11" s="174">
        <f>o_Valuation!D50</f>
        <v>4758995.9131949134</v>
      </c>
      <c r="C11" s="151"/>
      <c r="D11" s="151"/>
      <c r="E11" s="151"/>
      <c r="F11" s="151"/>
      <c r="G11" s="152"/>
    </row>
    <row r="12" spans="1:7" ht="8" customHeight="1" x14ac:dyDescent="0.2"/>
    <row r="13" spans="1:7" s="7" customFormat="1" ht="16" x14ac:dyDescent="0.2">
      <c r="A13" s="10" t="s">
        <v>127</v>
      </c>
      <c r="B13" s="44" t="s">
        <v>238</v>
      </c>
    </row>
    <row r="14" spans="1:7" ht="16" x14ac:dyDescent="0.2">
      <c r="A14" s="53"/>
      <c r="B14" s="82"/>
    </row>
    <row r="15" spans="1:7" x14ac:dyDescent="0.2">
      <c r="B15" s="168" t="s">
        <v>239</v>
      </c>
      <c r="C15" s="169" t="str">
        <f>o_FS!E4</f>
        <v>2024A</v>
      </c>
      <c r="D15" s="169" t="str">
        <f>o_FS!F4</f>
        <v>2025A</v>
      </c>
      <c r="E15" s="169" t="str">
        <f>o_FS!G4</f>
        <v>2026E</v>
      </c>
      <c r="F15" s="169" t="str">
        <f>o_FS!H4</f>
        <v>2027E</v>
      </c>
      <c r="G15" s="169" t="str">
        <f>o_FS!I4</f>
        <v>2028E</v>
      </c>
    </row>
    <row r="16" spans="1:7" x14ac:dyDescent="0.2">
      <c r="B16" s="170"/>
      <c r="C16" s="171" t="str">
        <f>o_FS!E5</f>
        <v>Actual</v>
      </c>
      <c r="D16" s="171" t="str">
        <f>o_FS!F5</f>
        <v>Actual</v>
      </c>
      <c r="E16" s="171" t="str">
        <f>o_FS!G5</f>
        <v>Estimate</v>
      </c>
      <c r="F16" s="171" t="str">
        <f>o_FS!H5</f>
        <v>Estimate</v>
      </c>
      <c r="G16" s="171" t="str">
        <f>o_FS!I5</f>
        <v>Estimate</v>
      </c>
    </row>
    <row r="17" spans="2:7" x14ac:dyDescent="0.2">
      <c r="B17" s="135" t="str">
        <f>o_FS!B8</f>
        <v>Sales revenue</v>
      </c>
      <c r="C17" s="125">
        <f>o_FS!E8</f>
        <v>1992054</v>
      </c>
      <c r="D17" s="125">
        <f>o_FS!F8</f>
        <v>2270854</v>
      </c>
      <c r="E17" s="126">
        <f>o_FS!G8</f>
        <v>2563281.25</v>
      </c>
      <c r="F17" s="126">
        <f>o_FS!H8</f>
        <v>2867849.1805000002</v>
      </c>
      <c r="G17" s="126">
        <f>o_FS!I8</f>
        <v>3172646.9490240002</v>
      </c>
    </row>
    <row r="18" spans="2:7" x14ac:dyDescent="0.2">
      <c r="B18" s="136" t="str">
        <f>c_FS!B12</f>
        <v xml:space="preserve">  YoY revenue growth rate (%)</v>
      </c>
      <c r="C18" s="127">
        <f>c_FS!E12</f>
        <v>0</v>
      </c>
      <c r="D18" s="127">
        <f>c_FS!F12</f>
        <v>0.13995604536824802</v>
      </c>
      <c r="E18" s="128">
        <f>c_FS!G12</f>
        <v>0.12877413078956201</v>
      </c>
      <c r="F18" s="128">
        <f>c_FS!H12</f>
        <v>0.1188195522828408</v>
      </c>
      <c r="G18" s="128">
        <f>c_FS!I12</f>
        <v>0.10628096156397571</v>
      </c>
    </row>
    <row r="19" spans="2:7" x14ac:dyDescent="0.2">
      <c r="B19" s="136" t="str">
        <f>o_FS!B11</f>
        <v xml:space="preserve">  Gross Margin %</v>
      </c>
      <c r="C19" s="127">
        <f>o_FS!E11</f>
        <v>0.56603736645693337</v>
      </c>
      <c r="D19" s="127">
        <f>o_FS!F11</f>
        <v>0.63395268916451697</v>
      </c>
      <c r="E19" s="128">
        <f>o_FS!G11</f>
        <v>0.64500000000000002</v>
      </c>
      <c r="F19" s="128">
        <f>o_FS!H11</f>
        <v>0.65</v>
      </c>
      <c r="G19" s="128">
        <f>o_FS!I11</f>
        <v>0.65500000000000003</v>
      </c>
    </row>
    <row r="20" spans="2:7" x14ac:dyDescent="0.2">
      <c r="B20" s="137" t="str">
        <f>o_FS!B20</f>
        <v>EBITDA</v>
      </c>
      <c r="C20" s="129">
        <f>o_FS!E20</f>
        <v>-30298</v>
      </c>
      <c r="D20" s="129">
        <f>o_FS!F20</f>
        <v>76672</v>
      </c>
      <c r="E20" s="130">
        <f>o_FS!G20</f>
        <v>92570.71875</v>
      </c>
      <c r="F20" s="130">
        <f>o_FS!H20</f>
        <v>183438.2631225001</v>
      </c>
      <c r="G20" s="130">
        <f>o_FS!I20</f>
        <v>292518.0561768004</v>
      </c>
    </row>
    <row r="21" spans="2:7" x14ac:dyDescent="0.2">
      <c r="B21" s="136" t="str">
        <f>o_FS!B21</f>
        <v xml:space="preserve">  EBITDA Margin %</v>
      </c>
      <c r="C21" s="127">
        <f>o_FS!E21</f>
        <v>-1.5209427053684287E-2</v>
      </c>
      <c r="D21" s="127">
        <f>o_FS!F21</f>
        <v>3.3763509234851732E-2</v>
      </c>
      <c r="E21" s="128">
        <f>o_FS!G21</f>
        <v>3.6114148125571476E-2</v>
      </c>
      <c r="F21" s="128">
        <f>o_FS!H21</f>
        <v>6.3963706449346208E-2</v>
      </c>
      <c r="G21" s="128">
        <f>o_FS!I21</f>
        <v>9.2200002356640276E-2</v>
      </c>
    </row>
    <row r="22" spans="2:7" x14ac:dyDescent="0.2">
      <c r="B22" s="138" t="str">
        <f>o_FS!B17</f>
        <v>Operating Profit / (Loss) (EBIT)</v>
      </c>
      <c r="C22" s="131">
        <f>o_FS!E17</f>
        <v>-87735</v>
      </c>
      <c r="D22" s="131">
        <f>o_FS!F17</f>
        <v>19454</v>
      </c>
      <c r="E22" s="132">
        <f>o_FS!G17</f>
        <v>38449.21875</v>
      </c>
      <c r="F22" s="132">
        <f>o_FS!H17</f>
        <v>129053.21312250011</v>
      </c>
      <c r="G22" s="132">
        <f>o_FS!I17</f>
        <v>237948.52117680036</v>
      </c>
    </row>
    <row r="23" spans="2:7" x14ac:dyDescent="0.2">
      <c r="B23" s="138" t="str">
        <f>o_FS!B26</f>
        <v>Net Profit / (Loss) for the Period</v>
      </c>
      <c r="C23" s="131">
        <f>o_FS!E26</f>
        <v>-102594</v>
      </c>
      <c r="D23" s="131">
        <f>o_FS!F26</f>
        <v>920</v>
      </c>
      <c r="E23" s="132">
        <f>o_FS!G26</f>
        <v>29347.712276999999</v>
      </c>
      <c r="F23" s="132">
        <f>o_FS!H26</f>
        <v>101054.30998760104</v>
      </c>
      <c r="G23" s="132">
        <f>o_FS!I26</f>
        <v>187892.75760187401</v>
      </c>
    </row>
    <row r="24" spans="2:7" x14ac:dyDescent="0.2">
      <c r="B24" s="137" t="str">
        <f>o_FS!B35</f>
        <v>Free Cash Flow to Firm (FCFF)</v>
      </c>
      <c r="C24" s="129">
        <f>o_FS!E35</f>
        <v>-34486.300000000003</v>
      </c>
      <c r="D24" s="129">
        <f>o_FS!F35</f>
        <v>48622.119999999995</v>
      </c>
      <c r="E24" s="130">
        <f>o_FS!G35</f>
        <v>39064.744648972614</v>
      </c>
      <c r="F24" s="130">
        <f>o_FS!H35</f>
        <v>91447.670551303483</v>
      </c>
      <c r="G24" s="130">
        <f>o_FS!I35</f>
        <v>188373.00718525331</v>
      </c>
    </row>
    <row r="25" spans="2:7" x14ac:dyDescent="0.2">
      <c r="B25" s="138" t="str">
        <f>o_FS!B39</f>
        <v>Closing cash &amp; cash equivalents</v>
      </c>
      <c r="C25" s="131">
        <f>o_FS!E39</f>
        <v>342247</v>
      </c>
      <c r="D25" s="131">
        <f>o_FS!F39</f>
        <v>357038</v>
      </c>
      <c r="E25" s="132">
        <f>o_FS!G39</f>
        <v>384660.83190148778</v>
      </c>
      <c r="F25" s="132">
        <f>o_FS!H39</f>
        <v>465465.84478947567</v>
      </c>
      <c r="G25" s="132">
        <f>o_FS!I39</f>
        <v>644276.36686017038</v>
      </c>
    </row>
    <row r="26" spans="2:7" x14ac:dyDescent="0.2">
      <c r="B26" s="139" t="str">
        <f>o_FS!B42</f>
        <v>Net Cash / (Net Debt) Position</v>
      </c>
      <c r="C26" s="133">
        <f>o_FS!E42</f>
        <v>104873</v>
      </c>
      <c r="D26" s="133">
        <f>o_FS!F42</f>
        <v>249474</v>
      </c>
      <c r="E26" s="134">
        <f>o_FS!G42</f>
        <v>287896.0663009726</v>
      </c>
      <c r="F26" s="134">
        <f>o_FS!H42</f>
        <v>379736.54060432699</v>
      </c>
      <c r="G26" s="134">
        <f>o_FS!I42</f>
        <v>570402.45887354994</v>
      </c>
    </row>
    <row r="28" spans="2:7" x14ac:dyDescent="0.2">
      <c r="B28" s="122" t="s">
        <v>251</v>
      </c>
      <c r="C28" s="122"/>
    </row>
    <row r="29" spans="2:7" x14ac:dyDescent="0.2">
      <c r="B29" s="148" t="str">
        <f>i_Inputs!B54</f>
        <v>Weighted Average Cost of Capital (WACC)</v>
      </c>
      <c r="C29" s="177">
        <f>i_Inputs!D54</f>
        <v>0.105</v>
      </c>
    </row>
    <row r="30" spans="2:7" x14ac:dyDescent="0.2">
      <c r="B30" s="149" t="str">
        <f>i_Inputs!B55</f>
        <v>Terminal Growth Rate (DCF)</v>
      </c>
      <c r="C30" s="177">
        <f>i_Inputs!D55</f>
        <v>0.04</v>
      </c>
    </row>
    <row r="31" spans="2:7" x14ac:dyDescent="0.2">
      <c r="B31" s="149" t="str">
        <f>i_Inputs!B56</f>
        <v>Target EV / Sales Multiple (Public Comps)</v>
      </c>
      <c r="C31" s="178">
        <f>i_Inputs!D56</f>
        <v>2.5</v>
      </c>
    </row>
    <row r="32" spans="2:7" x14ac:dyDescent="0.2">
      <c r="B32" s="149" t="str">
        <f>i_Inputs!B57</f>
        <v>Target EV / EBITDA Multiple (Public Comps)</v>
      </c>
      <c r="C32" s="178">
        <f>i_Inputs!D57</f>
        <v>20</v>
      </c>
    </row>
    <row r="33" spans="2:3" x14ac:dyDescent="0.2">
      <c r="B33" s="149" t="str">
        <f>i_Inputs!B49</f>
        <v>Effective corporate tax rate</v>
      </c>
      <c r="C33" s="177">
        <f>i_Inputs!D49</f>
        <v>0.22</v>
      </c>
    </row>
    <row r="34" spans="2:3" x14ac:dyDescent="0.2">
      <c r="B34" s="150" t="str">
        <f>i_Inputs!B59</f>
        <v>IPO Underwriter Discount / Spread</v>
      </c>
      <c r="C34" s="177">
        <f>i_Inputs!D59</f>
        <v>7.0000000000000007E-2</v>
      </c>
    </row>
    <row r="35" spans="2:3" x14ac:dyDescent="0.2">
      <c r="B35" s="149" t="str">
        <f>i_Inputs!B60</f>
        <v>Target Primary Capital Raised at IPO</v>
      </c>
      <c r="C35" s="179">
        <f>i_Inputs!D60</f>
        <v>500000</v>
      </c>
    </row>
    <row r="37" spans="2:3" x14ac:dyDescent="0.2">
      <c r="B37" s="122" t="s">
        <v>253</v>
      </c>
      <c r="C37" s="122"/>
    </row>
    <row r="38" spans="2:3" x14ac:dyDescent="0.2">
      <c r="B38" s="149" t="s">
        <v>252</v>
      </c>
      <c r="C38" s="205">
        <f>i_Historical!F49</f>
        <v>31223</v>
      </c>
    </row>
    <row r="39" spans="2:3" x14ac:dyDescent="0.2">
      <c r="B39" s="149" t="s">
        <v>254</v>
      </c>
      <c r="C39" s="206">
        <f>o_FS!F39</f>
        <v>357038</v>
      </c>
    </row>
    <row r="40" spans="2:3" x14ac:dyDescent="0.2">
      <c r="B40" s="149" t="s">
        <v>255</v>
      </c>
      <c r="C40" s="205">
        <f>o_FS!F40</f>
        <v>-527</v>
      </c>
    </row>
    <row r="41" spans="2:3" x14ac:dyDescent="0.2">
      <c r="B41" s="149" t="s">
        <v>256</v>
      </c>
      <c r="C41" s="205">
        <f>o_FS!F41</f>
        <v>-107037</v>
      </c>
    </row>
    <row r="42" spans="2:3" x14ac:dyDescent="0.2">
      <c r="B42" s="149" t="s">
        <v>56</v>
      </c>
      <c r="C42" s="205">
        <f>i_Historical!F55</f>
        <v>220000</v>
      </c>
    </row>
    <row r="64" spans="1:2" s="7" customFormat="1" ht="16" x14ac:dyDescent="0.2">
      <c r="A64" s="10" t="s">
        <v>127</v>
      </c>
      <c r="B64" s="44" t="s">
        <v>129</v>
      </c>
    </row>
  </sheetData>
  <sheetProtection algorithmName="SHA-512" hashValue="y+y3jpqHiji/toZnuXCSzVwvHO7LjNpElkdU/55eXcULTUA1cFaUXIueHLQ0kF985KxITT/lYJuc0mheBmPgfQ==" saltValue="IZTl9Pkodhb+7E2D5vtmlw==" spinCount="100000" sheet="1" objects="1" scenarios="1" formatColumns="0" formatRows="0" sort="0" autoFilter="0"/>
  <printOptions horizontalCentered="1" verticalCentered="1"/>
  <pageMargins left="0.3" right="0.3" top="0.4" bottom="0.4" header="0.2" footer="0.2"/>
  <pageSetup paperSize="9" scale="56" orientation="landscape" errors="blank" horizontalDpi="0" verticalDpi="0"/>
  <headerFooter>
    <oddFooter>&amp;C&amp;A – 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I66"/>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baseColWidth="10" defaultColWidth="8.83203125" defaultRowHeight="16" outlineLevelRow="1" x14ac:dyDescent="0.2"/>
  <cols>
    <col min="1" max="1" width="7" customWidth="1"/>
    <col min="2" max="2" width="52.83203125" style="5" customWidth="1"/>
    <col min="3" max="3" width="12.5" bestFit="1" customWidth="1"/>
    <col min="4" max="4" width="18.5" bestFit="1" customWidth="1"/>
    <col min="5" max="9" width="14.33203125" customWidth="1"/>
  </cols>
  <sheetData>
    <row r="1" spans="1:9" ht="29" x14ac:dyDescent="0.35">
      <c r="A1" s="9" t="str">
        <f>Contents!$A1</f>
        <v>Bolt Technology OÜ - Draft Valuation Model</v>
      </c>
    </row>
    <row r="2" spans="1:9" x14ac:dyDescent="0.2">
      <c r="A2" s="69" t="str">
        <f>Contents!$A2</f>
        <v>Source: Bolt Technology OÜ Consolidated Annual Report 2025 (AS PricewaterhouseCoopers audit)</v>
      </c>
    </row>
    <row r="3" spans="1:9" x14ac:dyDescent="0.2">
      <c r="A3" s="3"/>
    </row>
    <row r="4" spans="1:9" s="68" customFormat="1" x14ac:dyDescent="0.2">
      <c r="E4" s="68" t="str">
        <f>o_FS!E4</f>
        <v>2024A</v>
      </c>
      <c r="F4" s="68" t="str">
        <f>o_FS!F4</f>
        <v>2025A</v>
      </c>
      <c r="G4" s="68" t="str">
        <f>o_FS!G4</f>
        <v>2026E</v>
      </c>
      <c r="H4" s="68" t="str">
        <f>o_FS!H4</f>
        <v>2027E</v>
      </c>
      <c r="I4" s="68" t="str">
        <f>o_FS!I4</f>
        <v>2028E</v>
      </c>
    </row>
    <row r="5" spans="1:9" s="6" customFormat="1" x14ac:dyDescent="0.2">
      <c r="B5" s="6" t="s">
        <v>102</v>
      </c>
      <c r="C5" s="68" t="s">
        <v>1</v>
      </c>
      <c r="D5" s="68"/>
      <c r="E5" s="68" t="str">
        <f>o_FS!E5</f>
        <v>Actual</v>
      </c>
      <c r="F5" s="68" t="str">
        <f>o_FS!F5</f>
        <v>Actual</v>
      </c>
      <c r="G5" s="68" t="str">
        <f>o_FS!G5</f>
        <v>Estimate</v>
      </c>
      <c r="H5" s="68" t="str">
        <f>o_FS!H5</f>
        <v>Estimate</v>
      </c>
      <c r="I5" s="68" t="str">
        <f>o_FS!I5</f>
        <v>Estimate</v>
      </c>
    </row>
    <row r="6" spans="1:9" s="7" customFormat="1" x14ac:dyDescent="0.2">
      <c r="A6" s="10" t="s">
        <v>127</v>
      </c>
      <c r="B6" s="44" t="s">
        <v>134</v>
      </c>
    </row>
    <row r="7" spans="1:9" s="162" customFormat="1" outlineLevel="1" x14ac:dyDescent="0.2">
      <c r="C7" s="163"/>
      <c r="D7" s="163"/>
      <c r="E7" s="163"/>
    </row>
    <row r="8" spans="1:9" ht="15" outlineLevel="1" x14ac:dyDescent="0.2">
      <c r="B8" s="185" t="s">
        <v>68</v>
      </c>
      <c r="C8" s="186" t="s">
        <v>58</v>
      </c>
      <c r="D8" s="187">
        <f>i_Inputs!$D$54</f>
        <v>0.105</v>
      </c>
      <c r="E8" s="188"/>
    </row>
    <row r="9" spans="1:9" ht="15" outlineLevel="1" x14ac:dyDescent="0.2">
      <c r="B9" s="185" t="s">
        <v>103</v>
      </c>
      <c r="C9" s="186" t="s">
        <v>58</v>
      </c>
      <c r="D9" s="187">
        <f>i_Inputs!$D$55</f>
        <v>0.04</v>
      </c>
      <c r="E9" s="188"/>
    </row>
    <row r="10" spans="1:9" ht="15" outlineLevel="1" x14ac:dyDescent="0.2">
      <c r="B10" s="185" t="s">
        <v>267</v>
      </c>
      <c r="C10" s="186" t="s">
        <v>234</v>
      </c>
      <c r="D10" s="189">
        <f>i_Inputs!$D$62</f>
        <v>0.5</v>
      </c>
      <c r="E10" s="188"/>
    </row>
    <row r="11" spans="1:9" ht="15" outlineLevel="1" x14ac:dyDescent="0.2">
      <c r="B11" s="185"/>
      <c r="C11" s="186"/>
      <c r="D11" s="182"/>
      <c r="E11" s="188"/>
    </row>
    <row r="12" spans="1:9" ht="15" outlineLevel="1" x14ac:dyDescent="0.2">
      <c r="B12" s="185" t="s">
        <v>268</v>
      </c>
      <c r="C12" s="190" t="s">
        <v>273</v>
      </c>
      <c r="D12" s="111"/>
      <c r="E12" s="191">
        <f>IF(E$5="Estimate",1,0)</f>
        <v>0</v>
      </c>
      <c r="F12" s="191">
        <f t="shared" ref="F12:I12" si="0">IF(F$5="Estimate",1,0)</f>
        <v>0</v>
      </c>
      <c r="G12" s="191">
        <f t="shared" si="0"/>
        <v>1</v>
      </c>
      <c r="H12" s="191">
        <f t="shared" si="0"/>
        <v>1</v>
      </c>
      <c r="I12" s="191">
        <f t="shared" si="0"/>
        <v>1</v>
      </c>
    </row>
    <row r="13" spans="1:9" ht="15" outlineLevel="1" x14ac:dyDescent="0.2">
      <c r="B13" s="185" t="s">
        <v>269</v>
      </c>
      <c r="C13" s="186" t="s">
        <v>234</v>
      </c>
      <c r="D13" s="111"/>
      <c r="E13" s="189">
        <f>IF(E12=1,SUM($E12:E12)-$D$10,0)</f>
        <v>0</v>
      </c>
      <c r="F13" s="189">
        <f>IF(F12=1,SUM($E12:F12)-$D$10,0)</f>
        <v>0</v>
      </c>
      <c r="G13" s="189">
        <f>IF(G12=1,SUM($E12:G12)-$D$10,0)</f>
        <v>0.5</v>
      </c>
      <c r="H13" s="189">
        <f>IF(H12=1,SUM($E12:H12)-$D$10,0)</f>
        <v>1.5</v>
      </c>
      <c r="I13" s="189">
        <f>IF(I12=1,SUM($E12:I12)-$D$10,0)</f>
        <v>2.5</v>
      </c>
    </row>
    <row r="14" spans="1:9" ht="15" outlineLevel="1" x14ac:dyDescent="0.2">
      <c r="B14" s="185" t="s">
        <v>270</v>
      </c>
      <c r="C14" s="190" t="s">
        <v>273</v>
      </c>
      <c r="D14" s="111"/>
      <c r="E14" s="191">
        <f>IF(AND(E12=1,E13=MAX($E$13:$I$13)),1,0)</f>
        <v>0</v>
      </c>
      <c r="F14" s="191">
        <f t="shared" ref="F14:I14" si="1">IF(AND(F12=1,F13=MAX($E$13:$I$13)),1,0)</f>
        <v>0</v>
      </c>
      <c r="G14" s="191">
        <f t="shared" si="1"/>
        <v>0</v>
      </c>
      <c r="H14" s="191">
        <f t="shared" si="1"/>
        <v>0</v>
      </c>
      <c r="I14" s="191">
        <f t="shared" si="1"/>
        <v>1</v>
      </c>
    </row>
    <row r="15" spans="1:9" ht="15" outlineLevel="1" x14ac:dyDescent="0.2">
      <c r="B15" s="185"/>
      <c r="C15" s="190"/>
      <c r="D15" s="111"/>
      <c r="E15" s="191"/>
      <c r="F15" s="191"/>
      <c r="G15" s="191"/>
      <c r="H15" s="191"/>
      <c r="I15" s="191"/>
    </row>
    <row r="16" spans="1:9" ht="15" outlineLevel="1" x14ac:dyDescent="0.2">
      <c r="B16" s="185" t="s">
        <v>274</v>
      </c>
      <c r="C16" s="12" t="s">
        <v>8</v>
      </c>
      <c r="D16" s="111"/>
      <c r="E16" s="191">
        <f>o_FS!E35</f>
        <v>-34486.300000000003</v>
      </c>
      <c r="F16" s="191">
        <f>o_FS!F35</f>
        <v>48622.119999999995</v>
      </c>
      <c r="G16" s="191">
        <f>o_FS!G35</f>
        <v>39064.744648972614</v>
      </c>
      <c r="H16" s="191">
        <f>o_FS!H35</f>
        <v>91447.670551303483</v>
      </c>
      <c r="I16" s="191">
        <f>o_FS!I35</f>
        <v>188373.00718525331</v>
      </c>
    </row>
    <row r="17" spans="1:9" ht="15" outlineLevel="1" x14ac:dyDescent="0.2">
      <c r="B17" s="185" t="s">
        <v>271</v>
      </c>
      <c r="C17" s="12" t="s">
        <v>71</v>
      </c>
      <c r="D17" s="111"/>
      <c r="E17" s="189">
        <f>IF(E12=1,1/(1+$D$8)^E13,0)</f>
        <v>0</v>
      </c>
      <c r="F17" s="189">
        <f t="shared" ref="F17:I17" si="2">IF(F12=1,1/(1+$D$8)^F13,0)</f>
        <v>0</v>
      </c>
      <c r="G17" s="189">
        <f t="shared" si="2"/>
        <v>0.95130298830898818</v>
      </c>
      <c r="H17" s="189">
        <f t="shared" si="2"/>
        <v>0.86090768172759113</v>
      </c>
      <c r="I17" s="189">
        <f t="shared" si="2"/>
        <v>0.77910197441410955</v>
      </c>
    </row>
    <row r="18" spans="1:9" s="70" customFormat="1" ht="15" outlineLevel="1" x14ac:dyDescent="0.2">
      <c r="B18" s="192" t="s">
        <v>275</v>
      </c>
      <c r="C18" s="18" t="s">
        <v>8</v>
      </c>
      <c r="D18" s="194">
        <f>SUM(E18:I18)</f>
        <v>262652.19220016047</v>
      </c>
      <c r="E18" s="193">
        <f>E16*E17</f>
        <v>0</v>
      </c>
      <c r="F18" s="193">
        <f t="shared" ref="F18:I18" si="3">F16*F17</f>
        <v>0</v>
      </c>
      <c r="G18" s="193">
        <f t="shared" si="3"/>
        <v>37162.408322095202</v>
      </c>
      <c r="H18" s="193">
        <f t="shared" si="3"/>
        <v>78728.002053711185</v>
      </c>
      <c r="I18" s="193">
        <f t="shared" si="3"/>
        <v>146761.78182435411</v>
      </c>
    </row>
    <row r="19" spans="1:9" outlineLevel="1" x14ac:dyDescent="0.2">
      <c r="B19" s="45"/>
      <c r="C19" s="12"/>
      <c r="D19" s="111"/>
      <c r="E19" s="110"/>
      <c r="F19" s="110"/>
      <c r="G19" s="110"/>
      <c r="H19" s="110"/>
      <c r="I19" s="110"/>
    </row>
    <row r="20" spans="1:9" outlineLevel="1" x14ac:dyDescent="0.2">
      <c r="B20" s="45" t="s">
        <v>272</v>
      </c>
      <c r="C20" s="12" t="s">
        <v>8</v>
      </c>
      <c r="D20" s="183">
        <f>SUMPRODUCT(E14:I14,E16:I16)</f>
        <v>188373.00718525331</v>
      </c>
      <c r="E20" s="11"/>
    </row>
    <row r="21" spans="1:9" outlineLevel="1" x14ac:dyDescent="0.2">
      <c r="B21" s="45" t="s">
        <v>104</v>
      </c>
      <c r="C21" s="12" t="s">
        <v>8</v>
      </c>
      <c r="D21" s="183">
        <f>D20*(1+D9)/(D8-D9)</f>
        <v>3013968.114964053</v>
      </c>
      <c r="E21" s="11"/>
    </row>
    <row r="22" spans="1:9" outlineLevel="1" x14ac:dyDescent="0.2">
      <c r="B22" s="45" t="s">
        <v>105</v>
      </c>
      <c r="C22" s="12" t="s">
        <v>8</v>
      </c>
      <c r="D22" s="183">
        <f>D21*SUMPRODUCT(E14:I14,E17:I17)</f>
        <v>2348188.5091896658</v>
      </c>
      <c r="E22" s="11"/>
    </row>
    <row r="23" spans="1:9" outlineLevel="1" x14ac:dyDescent="0.2">
      <c r="B23" s="47" t="s">
        <v>106</v>
      </c>
      <c r="C23" s="39" t="s">
        <v>8</v>
      </c>
      <c r="D23" s="184">
        <f>D18+D22</f>
        <v>2610840.7013898264</v>
      </c>
      <c r="E23" s="11"/>
    </row>
    <row r="24" spans="1:9" outlineLevel="1" x14ac:dyDescent="0.2">
      <c r="B24" s="45" t="s">
        <v>186</v>
      </c>
      <c r="C24" s="12" t="s">
        <v>8</v>
      </c>
      <c r="D24" s="110">
        <f>i_Historical!F30</f>
        <v>357038</v>
      </c>
      <c r="E24" s="11"/>
    </row>
    <row r="25" spans="1:9" outlineLevel="1" x14ac:dyDescent="0.2">
      <c r="B25" s="45" t="s">
        <v>107</v>
      </c>
      <c r="C25" s="12" t="s">
        <v>8</v>
      </c>
      <c r="D25" s="110">
        <f>-i_Historical!F39</f>
        <v>-527</v>
      </c>
      <c r="E25" s="11"/>
    </row>
    <row r="26" spans="1:9" outlineLevel="1" x14ac:dyDescent="0.2">
      <c r="B26" s="45" t="s">
        <v>108</v>
      </c>
      <c r="C26" s="12" t="s">
        <v>8</v>
      </c>
      <c r="D26" s="110">
        <f>-i_Historical!F40</f>
        <v>-107037</v>
      </c>
      <c r="E26" s="11"/>
    </row>
    <row r="27" spans="1:9" outlineLevel="1" x14ac:dyDescent="0.2">
      <c r="B27" s="47" t="s">
        <v>109</v>
      </c>
      <c r="C27" s="39" t="s">
        <v>8</v>
      </c>
      <c r="D27" s="112">
        <f>D23+D24+D25+D26</f>
        <v>2860314.7013898264</v>
      </c>
      <c r="E27" s="11"/>
    </row>
    <row r="28" spans="1:9" outlineLevel="1" x14ac:dyDescent="0.2">
      <c r="B28" s="45" t="s">
        <v>110</v>
      </c>
      <c r="C28" s="12" t="s">
        <v>48</v>
      </c>
      <c r="D28" s="113">
        <f>i_Inputs!$D$58</f>
        <v>31223</v>
      </c>
      <c r="E28" s="11"/>
    </row>
    <row r="29" spans="1:9" outlineLevel="1" x14ac:dyDescent="0.2">
      <c r="B29" s="47" t="s">
        <v>111</v>
      </c>
      <c r="C29" s="39" t="s">
        <v>112</v>
      </c>
      <c r="D29" s="114">
        <f>D27/D28</f>
        <v>91.609220811255369</v>
      </c>
      <c r="E29" s="11"/>
    </row>
    <row r="31" spans="1:9" s="7" customFormat="1" x14ac:dyDescent="0.2">
      <c r="A31" s="10" t="s">
        <v>127</v>
      </c>
      <c r="B31" s="44" t="s">
        <v>135</v>
      </c>
    </row>
    <row r="32" spans="1:9" outlineLevel="1" x14ac:dyDescent="0.2">
      <c r="A32" s="53"/>
      <c r="B32" s="82"/>
    </row>
    <row r="33" spans="1:5" outlineLevel="1" x14ac:dyDescent="0.2">
      <c r="B33" s="45" t="s">
        <v>262</v>
      </c>
      <c r="C33" s="12" t="s">
        <v>8</v>
      </c>
      <c r="D33" s="115">
        <f>o_FS!G8</f>
        <v>2563281.25</v>
      </c>
      <c r="E33" s="11"/>
    </row>
    <row r="34" spans="1:5" outlineLevel="1" x14ac:dyDescent="0.2">
      <c r="B34" s="45" t="s">
        <v>113</v>
      </c>
      <c r="C34" s="12" t="s">
        <v>71</v>
      </c>
      <c r="D34" s="160">
        <f>i_Inputs!$D$56</f>
        <v>2.5</v>
      </c>
      <c r="E34" s="11"/>
    </row>
    <row r="35" spans="1:5" outlineLevel="1" x14ac:dyDescent="0.2">
      <c r="B35" s="47" t="s">
        <v>114</v>
      </c>
      <c r="C35" s="39" t="s">
        <v>8</v>
      </c>
      <c r="D35" s="161">
        <f>D33*D34</f>
        <v>6408203.125</v>
      </c>
      <c r="E35" s="11"/>
    </row>
    <row r="36" spans="1:5" outlineLevel="1" x14ac:dyDescent="0.2">
      <c r="B36" s="47" t="s">
        <v>115</v>
      </c>
      <c r="C36" s="39" t="s">
        <v>8</v>
      </c>
      <c r="D36" s="161">
        <f>D35+D24+D25+D26</f>
        <v>6657677.125</v>
      </c>
      <c r="E36" s="11"/>
    </row>
    <row r="37" spans="1:5" outlineLevel="1" x14ac:dyDescent="0.2">
      <c r="B37" s="47" t="s">
        <v>116</v>
      </c>
      <c r="C37" s="39" t="s">
        <v>112</v>
      </c>
      <c r="D37" s="114">
        <f>D36/D28</f>
        <v>213.22989863241841</v>
      </c>
      <c r="E37" s="11"/>
    </row>
    <row r="38" spans="1:5" outlineLevel="1" x14ac:dyDescent="0.2">
      <c r="B38" s="48"/>
      <c r="C38" s="22"/>
      <c r="D38" s="22"/>
      <c r="E38" s="11"/>
    </row>
    <row r="39" spans="1:5" outlineLevel="1" x14ac:dyDescent="0.2">
      <c r="B39" s="45" t="s">
        <v>261</v>
      </c>
      <c r="C39" s="12" t="s">
        <v>8</v>
      </c>
      <c r="D39" s="115">
        <f>o_FS!G20</f>
        <v>92570.71875</v>
      </c>
      <c r="E39" s="11"/>
    </row>
    <row r="40" spans="1:5" outlineLevel="1" x14ac:dyDescent="0.2">
      <c r="B40" s="45" t="s">
        <v>117</v>
      </c>
      <c r="C40" s="12" t="s">
        <v>71</v>
      </c>
      <c r="D40" s="160">
        <f>i_Inputs!$D$57</f>
        <v>20</v>
      </c>
      <c r="E40" s="11"/>
    </row>
    <row r="41" spans="1:5" outlineLevel="1" x14ac:dyDescent="0.2">
      <c r="B41" s="47" t="s">
        <v>118</v>
      </c>
      <c r="C41" s="39" t="s">
        <v>8</v>
      </c>
      <c r="D41" s="161">
        <f>D39*D40</f>
        <v>1851414.375</v>
      </c>
      <c r="E41" s="11"/>
    </row>
    <row r="42" spans="1:5" outlineLevel="1" x14ac:dyDescent="0.2">
      <c r="B42" s="47" t="s">
        <v>119</v>
      </c>
      <c r="C42" s="39" t="s">
        <v>8</v>
      </c>
      <c r="D42" s="161">
        <f>D41+D24+D25+D26</f>
        <v>2100888.375</v>
      </c>
      <c r="E42" s="11"/>
    </row>
    <row r="43" spans="1:5" outlineLevel="1" x14ac:dyDescent="0.2">
      <c r="B43" s="47" t="s">
        <v>120</v>
      </c>
      <c r="C43" s="39" t="s">
        <v>112</v>
      </c>
      <c r="D43" s="114">
        <f>D42/D28</f>
        <v>67.286563590942578</v>
      </c>
      <c r="E43" s="11"/>
    </row>
    <row r="44" spans="1:5" x14ac:dyDescent="0.2">
      <c r="D44" s="116"/>
    </row>
    <row r="45" spans="1:5" s="7" customFormat="1" x14ac:dyDescent="0.2">
      <c r="A45" s="10" t="s">
        <v>127</v>
      </c>
      <c r="B45" s="44" t="s">
        <v>136</v>
      </c>
    </row>
    <row r="46" spans="1:5" outlineLevel="1" x14ac:dyDescent="0.2">
      <c r="A46" s="53"/>
      <c r="B46" s="82"/>
    </row>
    <row r="47" spans="1:5" ht="15" outlineLevel="1" x14ac:dyDescent="0.2">
      <c r="A47" s="53"/>
      <c r="B47" t="str">
        <f>i_Inputs!B61</f>
        <v>DCF Weight</v>
      </c>
      <c r="C47" s="195" t="str">
        <f>i_Inputs!C61</f>
        <v>%</v>
      </c>
      <c r="D47" s="74">
        <f>i_Inputs!D61</f>
        <v>0.5</v>
      </c>
    </row>
    <row r="48" spans="1:5" outlineLevel="1" x14ac:dyDescent="0.2">
      <c r="A48" s="53"/>
      <c r="B48" s="82"/>
    </row>
    <row r="49" spans="1:9" ht="17" outlineLevel="1" thickBot="1" x14ac:dyDescent="0.25">
      <c r="B49" s="48" t="s">
        <v>121</v>
      </c>
      <c r="C49" s="22" t="s">
        <v>8</v>
      </c>
      <c r="D49" s="118">
        <f>D23*$D$47+D35*(1-$D$47)</f>
        <v>4509521.9131949134</v>
      </c>
      <c r="E49" s="21"/>
    </row>
    <row r="50" spans="1:9" outlineLevel="1" x14ac:dyDescent="0.2">
      <c r="B50" s="157" t="s">
        <v>122</v>
      </c>
      <c r="C50" s="158" t="s">
        <v>8</v>
      </c>
      <c r="D50" s="159">
        <f>D49+D24+D25+D26</f>
        <v>4758995.9131949134</v>
      </c>
      <c r="E50" s="21"/>
    </row>
    <row r="51" spans="1:9" outlineLevel="1" x14ac:dyDescent="0.2">
      <c r="B51" s="48"/>
      <c r="C51" s="22"/>
      <c r="D51" s="22"/>
      <c r="E51" s="21"/>
    </row>
    <row r="52" spans="1:9" outlineLevel="1" x14ac:dyDescent="0.2">
      <c r="B52" s="45" t="s">
        <v>78</v>
      </c>
      <c r="C52" s="12" t="s">
        <v>8</v>
      </c>
      <c r="D52" s="110">
        <f>i_Inputs!$D$60</f>
        <v>500000</v>
      </c>
      <c r="E52" s="21"/>
    </row>
    <row r="53" spans="1:9" ht="17" outlineLevel="1" thickBot="1" x14ac:dyDescent="0.25">
      <c r="B53" s="49" t="s">
        <v>123</v>
      </c>
      <c r="C53" s="81" t="s">
        <v>8</v>
      </c>
      <c r="D53" s="119">
        <f>D50+D52</f>
        <v>5258995.9131949134</v>
      </c>
      <c r="E53" s="21"/>
    </row>
    <row r="54" spans="1:9" ht="17" outlineLevel="1" thickTop="1" x14ac:dyDescent="0.2">
      <c r="B54" s="48"/>
      <c r="C54" s="22"/>
      <c r="D54" s="22"/>
      <c r="E54" s="21"/>
    </row>
    <row r="55" spans="1:9" outlineLevel="1" x14ac:dyDescent="0.2">
      <c r="B55" s="45" t="s">
        <v>124</v>
      </c>
      <c r="C55" s="12" t="s">
        <v>112</v>
      </c>
      <c r="D55" s="120">
        <f>D50/D28</f>
        <v>152.41955972183689</v>
      </c>
      <c r="E55" s="21"/>
    </row>
    <row r="56" spans="1:9" outlineLevel="1" x14ac:dyDescent="0.2">
      <c r="B56" s="47" t="s">
        <v>125</v>
      </c>
      <c r="C56" s="39" t="s">
        <v>112</v>
      </c>
      <c r="D56" s="114">
        <f>D55*(1-i_Inputs!$D$59)</f>
        <v>141.75019054130829</v>
      </c>
      <c r="E56" s="21"/>
    </row>
    <row r="57" spans="1:9" x14ac:dyDescent="0.2">
      <c r="E57" s="21"/>
    </row>
    <row r="58" spans="1:9" s="7" customFormat="1" x14ac:dyDescent="0.2">
      <c r="A58" s="10" t="s">
        <v>127</v>
      </c>
      <c r="B58" s="44" t="s">
        <v>131</v>
      </c>
    </row>
    <row r="59" spans="1:9" outlineLevel="1" x14ac:dyDescent="0.2">
      <c r="B59" s="80" t="s">
        <v>276</v>
      </c>
    </row>
    <row r="60" spans="1:9" outlineLevel="1" x14ac:dyDescent="0.2"/>
    <row r="61" spans="1:9" s="117" customFormat="1" outlineLevel="1" x14ac:dyDescent="0.2">
      <c r="A61"/>
      <c r="B61" s="6" t="s">
        <v>126</v>
      </c>
      <c r="C61" s="6"/>
      <c r="D61" s="6"/>
      <c r="E61" s="165">
        <f>$G$61-1</f>
        <v>1.5</v>
      </c>
      <c r="F61" s="165">
        <f>$G$61-0.5</f>
        <v>2</v>
      </c>
      <c r="G61" s="165">
        <f>i_Inputs!$D$56</f>
        <v>2.5</v>
      </c>
      <c r="H61" s="165">
        <f>$G$61+0.5</f>
        <v>3</v>
      </c>
      <c r="I61" s="165">
        <f>G61+1</f>
        <v>3.5</v>
      </c>
    </row>
    <row r="62" spans="1:9" outlineLevel="1" x14ac:dyDescent="0.2">
      <c r="B62" s="196">
        <f>-i_Inputs!$D$63</f>
        <v>-0.05</v>
      </c>
      <c r="C62" s="209" t="s">
        <v>112</v>
      </c>
      <c r="D62" s="197"/>
      <c r="E62" s="198">
        <f>(o_FS!$G$8*(1+$B62)*E$61+$D$24+$D$25+$D$26)/$D$28</f>
        <v>124.97677293181309</v>
      </c>
      <c r="F62" s="198">
        <f>(o_FS!$G$8*(1+$B62)*F$61+$D$24+$D$25+$D$26)/$D$28</f>
        <v>163.972340101848</v>
      </c>
      <c r="G62" s="198">
        <f>(o_FS!$G$8*(1+$B62)*G$61+$D$24+$D$25+$D$26)/$D$28</f>
        <v>202.96790727188289</v>
      </c>
      <c r="H62" s="198">
        <f>(o_FS!$G$8*(1+$B62)*H$61+$D$24+$D$25+$D$26)/$D$28</f>
        <v>241.96347444191781</v>
      </c>
      <c r="I62" s="199">
        <f>(o_FS!$G$8*(1+$B62)*I$61+$D$24+$D$25+$D$26)/$D$28</f>
        <v>280.95904161195273</v>
      </c>
    </row>
    <row r="63" spans="1:9" outlineLevel="1" x14ac:dyDescent="0.2">
      <c r="B63" s="207">
        <v>0</v>
      </c>
      <c r="C63" s="210" t="s">
        <v>112</v>
      </c>
      <c r="D63" s="208"/>
      <c r="E63" s="166">
        <f>(o_FS!$G$8*(1+$B63)*E$61+$D$24+$D$25+$D$26)/$D$28</f>
        <v>131.13396774813438</v>
      </c>
      <c r="F63" s="166">
        <f>(o_FS!$G$8*(1+$B63)*F$61+$D$24+$D$25+$D$26)/$D$28</f>
        <v>172.1819331902764</v>
      </c>
      <c r="G63" s="167">
        <f>(o_FS!$G$8*(1+$B63)*G$61+$D$24+$D$25+$D$26)/$D$28</f>
        <v>213.22989863241841</v>
      </c>
      <c r="H63" s="166">
        <f>(o_FS!$G$8*(1+$B63)*H$61+$D$24+$D$25+$D$26)/$D$28</f>
        <v>254.27786407456043</v>
      </c>
      <c r="I63" s="200">
        <f>(o_FS!$G$8*(1+$B63)*I$61+$D$24+$D$25+$D$26)/$D$28</f>
        <v>295.32582951670241</v>
      </c>
    </row>
    <row r="64" spans="1:9" outlineLevel="1" x14ac:dyDescent="0.2">
      <c r="B64" s="201">
        <f>i_Inputs!$D$63</f>
        <v>0.05</v>
      </c>
      <c r="C64" s="211" t="s">
        <v>112</v>
      </c>
      <c r="D64" s="202"/>
      <c r="E64" s="203">
        <f>(o_FS!$G$8*(1+$B64)*E$61+$D$24+$D$25+$D$26)/$D$28</f>
        <v>137.2911625644557</v>
      </c>
      <c r="F64" s="203">
        <f>(o_FS!$G$8*(1+$B64)*F$61+$D$24+$D$25+$D$26)/$D$28</f>
        <v>180.39152627870479</v>
      </c>
      <c r="G64" s="203">
        <f>(o_FS!$G$8*(1+$B64)*G$61+$D$24+$D$25+$D$26)/$D$28</f>
        <v>223.4918899929539</v>
      </c>
      <c r="H64" s="203">
        <f>(o_FS!$G$8*(1+$B64)*H$61+$D$24+$D$25+$D$26)/$D$28</f>
        <v>266.59225370720304</v>
      </c>
      <c r="I64" s="204">
        <f>(o_FS!$G$8*(1+$B64)*I$61+$D$24+$D$25+$D$26)/$D$28</f>
        <v>309.69261742145216</v>
      </c>
    </row>
    <row r="66" spans="1:2" s="7" customFormat="1" x14ac:dyDescent="0.2">
      <c r="A66" s="10" t="s">
        <v>127</v>
      </c>
      <c r="B66" s="44" t="s">
        <v>129</v>
      </c>
    </row>
  </sheetData>
  <sheetProtection algorithmName="SHA-512" hashValue="OEpHn5wYCmY3tUZ13FDZIuKrfROBYaPQvXEFW3M8a168jUhdxjSPjbfbCnDUxev9ask9Q1QabOITEKzMifcyvg==" saltValue="F3CicU8ZDL0AiyRIsTDgeA==" spinCount="100000" sheet="1" objects="1" scenarios="1" formatColumns="0" formatRows="0" sort="0" autoFilter="0"/>
  <pageMargins left="0.75" right="0.75" top="1" bottom="1" header="0.5" footer="0.5"/>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95FAC-DE8E-B743-B567-AED2AAADD22F}">
  <sheetPr>
    <tabColor theme="3"/>
  </sheetPr>
  <dimension ref="A1:J45"/>
  <sheetViews>
    <sheetView showGridLines="0" workbookViewId="0">
      <pane xSplit="4" ySplit="5" topLeftCell="E6" activePane="bottomRight" state="frozen"/>
      <selection pane="topRight" activeCell="E1" sqref="E1"/>
      <selection pane="bottomLeft" activeCell="A6" sqref="A6"/>
      <selection pane="bottomRight"/>
    </sheetView>
  </sheetViews>
  <sheetFormatPr baseColWidth="10" defaultRowHeight="16" outlineLevelRow="1" x14ac:dyDescent="0.2"/>
  <cols>
    <col min="1" max="1" width="3.83203125" customWidth="1"/>
    <col min="2" max="2" width="79.1640625" style="59" customWidth="1"/>
    <col min="3" max="3" width="6.1640625" customWidth="1"/>
    <col min="4" max="9" width="15.6640625" customWidth="1"/>
  </cols>
  <sheetData>
    <row r="1" spans="1:10" ht="29" x14ac:dyDescent="0.35">
      <c r="A1" s="9" t="str">
        <f>Contents!$A1</f>
        <v>Bolt Technology OÜ - Draft Valuation Model</v>
      </c>
      <c r="B1" s="5"/>
    </row>
    <row r="2" spans="1:10" x14ac:dyDescent="0.2">
      <c r="A2" s="69" t="str">
        <f>Contents!$A2</f>
        <v>Source: Bolt Technology OÜ Consolidated Annual Report 2025 (AS PricewaterhouseCoopers audit)</v>
      </c>
      <c r="B2" s="5"/>
    </row>
    <row r="3" spans="1:10" x14ac:dyDescent="0.2">
      <c r="B3" s="5"/>
    </row>
    <row r="4" spans="1:10" s="1" customFormat="1" x14ac:dyDescent="0.2">
      <c r="B4" s="6" t="s">
        <v>144</v>
      </c>
      <c r="C4" s="2"/>
      <c r="E4" s="2" t="str">
        <f>c_FS!E4</f>
        <v>2024A</v>
      </c>
      <c r="F4" s="2" t="str">
        <f>c_FS!F4</f>
        <v>2025A</v>
      </c>
      <c r="G4" s="2" t="str">
        <f>c_FS!G4</f>
        <v>2026E</v>
      </c>
      <c r="H4" s="2" t="str">
        <f>c_FS!H4</f>
        <v>2027E</v>
      </c>
      <c r="I4" s="2" t="str">
        <f>c_FS!I4</f>
        <v>2028E</v>
      </c>
    </row>
    <row r="5" spans="1:10" s="60" customFormat="1" x14ac:dyDescent="0.2">
      <c r="E5" s="2" t="str">
        <f>c_FS!E5</f>
        <v>Actual</v>
      </c>
      <c r="F5" s="2" t="str">
        <f>c_FS!F5</f>
        <v>Actual</v>
      </c>
      <c r="G5" s="2" t="str">
        <f>c_FS!G5</f>
        <v>Estimate</v>
      </c>
      <c r="H5" s="2" t="str">
        <f>c_FS!H5</f>
        <v>Estimate</v>
      </c>
      <c r="I5" s="2" t="str">
        <f>c_FS!I5</f>
        <v>Estimate</v>
      </c>
      <c r="J5" s="68"/>
    </row>
    <row r="6" spans="1:10" s="7" customFormat="1" x14ac:dyDescent="0.2">
      <c r="A6" s="10" t="s">
        <v>127</v>
      </c>
      <c r="B6" s="44" t="s">
        <v>137</v>
      </c>
    </row>
    <row r="7" spans="1:10" outlineLevel="1" x14ac:dyDescent="0.2">
      <c r="B7" s="5"/>
    </row>
    <row r="8" spans="1:10" outlineLevel="1" x14ac:dyDescent="0.2">
      <c r="B8" s="45" t="s">
        <v>84</v>
      </c>
      <c r="D8" s="11"/>
      <c r="E8" s="13">
        <f>c_FS!E11</f>
        <v>1992054</v>
      </c>
      <c r="F8" s="13">
        <f>c_FS!F11</f>
        <v>2270854</v>
      </c>
      <c r="G8" s="13">
        <f>c_FS!G11</f>
        <v>2563281.25</v>
      </c>
      <c r="H8" s="13">
        <f>c_FS!H11</f>
        <v>2867849.1805000002</v>
      </c>
      <c r="I8" s="13">
        <f>c_FS!I11</f>
        <v>3172646.9490240002</v>
      </c>
    </row>
    <row r="9" spans="1:10" outlineLevel="1" x14ac:dyDescent="0.2">
      <c r="B9" s="63" t="s">
        <v>146</v>
      </c>
      <c r="D9" s="11"/>
      <c r="E9" s="13">
        <f>c_FS!E16</f>
        <v>-864477</v>
      </c>
      <c r="F9" s="13">
        <f>c_FS!F16</f>
        <v>-831240</v>
      </c>
      <c r="G9" s="13">
        <f>c_FS!G16</f>
        <v>-909964.84375</v>
      </c>
      <c r="H9" s="13">
        <f>c_FS!H16</f>
        <v>-1003747.213175</v>
      </c>
      <c r="I9" s="13">
        <f>c_FS!I16</f>
        <v>-1094563.1974132799</v>
      </c>
    </row>
    <row r="10" spans="1:10" outlineLevel="1" x14ac:dyDescent="0.2">
      <c r="B10" s="47" t="s">
        <v>13</v>
      </c>
      <c r="C10" s="58"/>
      <c r="D10" s="38"/>
      <c r="E10" s="40">
        <f>SUM(E8:E9)</f>
        <v>1127577</v>
      </c>
      <c r="F10" s="40">
        <f t="shared" ref="F10:I10" si="0">SUM(F8:F9)</f>
        <v>1439614</v>
      </c>
      <c r="G10" s="40">
        <f t="shared" si="0"/>
        <v>1653316.40625</v>
      </c>
      <c r="H10" s="40">
        <f t="shared" si="0"/>
        <v>1864101.9673250001</v>
      </c>
      <c r="I10" s="40">
        <f t="shared" si="0"/>
        <v>2078083.7516107203</v>
      </c>
    </row>
    <row r="11" spans="1:10" s="57" customFormat="1" outlineLevel="1" x14ac:dyDescent="0.2">
      <c r="B11" s="54" t="s">
        <v>85</v>
      </c>
      <c r="D11" s="55"/>
      <c r="E11" s="56">
        <f>E10/E8</f>
        <v>0.56603736645693337</v>
      </c>
      <c r="F11" s="56">
        <f>F10/F8</f>
        <v>0.63395268916451697</v>
      </c>
      <c r="G11" s="56">
        <f>G10/G8</f>
        <v>0.64500000000000002</v>
      </c>
      <c r="H11" s="56">
        <f>H10/H8</f>
        <v>0.65</v>
      </c>
      <c r="I11" s="56">
        <f>I10/I8</f>
        <v>0.65500000000000003</v>
      </c>
    </row>
    <row r="12" spans="1:10" outlineLevel="1" x14ac:dyDescent="0.2">
      <c r="B12" s="45" t="s">
        <v>19</v>
      </c>
      <c r="D12" s="11"/>
      <c r="E12" s="13">
        <f>c_FS!E18</f>
        <v>-795513</v>
      </c>
      <c r="F12" s="13">
        <f>c_FS!F18</f>
        <v>-1048370</v>
      </c>
      <c r="G12" s="13">
        <f>c_FS!G18</f>
        <v>-1153476.5625</v>
      </c>
      <c r="H12" s="13">
        <f>c_FS!H18</f>
        <v>-1218835.9017125</v>
      </c>
      <c r="I12" s="13">
        <f>c_FS!I18</f>
        <v>-1269058.7796096001</v>
      </c>
    </row>
    <row r="13" spans="1:10" outlineLevel="1" x14ac:dyDescent="0.2">
      <c r="B13" s="45" t="s">
        <v>17</v>
      </c>
      <c r="D13" s="11"/>
      <c r="E13" s="13">
        <f>c_FS!E19</f>
        <v>-107877</v>
      </c>
      <c r="F13" s="13">
        <f>c_FS!F19</f>
        <v>-127580</v>
      </c>
      <c r="G13" s="13">
        <f>c_FS!G19</f>
        <v>-128164.0625</v>
      </c>
      <c r="H13" s="13">
        <f>c_FS!H19</f>
        <v>-143392.45902500002</v>
      </c>
      <c r="I13" s="13">
        <f>c_FS!I19</f>
        <v>-158632.34745120001</v>
      </c>
    </row>
    <row r="14" spans="1:10" outlineLevel="1" x14ac:dyDescent="0.2">
      <c r="B14" s="45" t="s">
        <v>21</v>
      </c>
      <c r="D14" s="11"/>
      <c r="E14" s="13">
        <f>c_FS!E20</f>
        <v>-319933</v>
      </c>
      <c r="F14" s="13">
        <f>c_FS!F20</f>
        <v>-253032</v>
      </c>
      <c r="G14" s="13">
        <f>c_FS!G20</f>
        <v>-307593.75</v>
      </c>
      <c r="H14" s="13">
        <f>c_FS!H20</f>
        <v>-344141.90166000003</v>
      </c>
      <c r="I14" s="13">
        <f>c_FS!I20</f>
        <v>-380717.63388288004</v>
      </c>
    </row>
    <row r="15" spans="1:10" outlineLevel="1" x14ac:dyDescent="0.2">
      <c r="B15" s="45" t="s">
        <v>23</v>
      </c>
      <c r="C15" s="11"/>
      <c r="D15" s="11"/>
      <c r="E15" s="13">
        <f>c_FS!E21</f>
        <v>-8913</v>
      </c>
      <c r="F15" s="13">
        <f>c_FS!F21</f>
        <v>-13131</v>
      </c>
      <c r="G15" s="13">
        <f>c_FS!G21</f>
        <v>-51265.625</v>
      </c>
      <c r="H15" s="13">
        <f>c_FS!H21</f>
        <v>-57356.983610000003</v>
      </c>
      <c r="I15" s="13">
        <f>c_FS!I21</f>
        <v>-63452.938980480008</v>
      </c>
    </row>
    <row r="16" spans="1:10" outlineLevel="1" x14ac:dyDescent="0.2">
      <c r="B16" s="45" t="s">
        <v>15</v>
      </c>
      <c r="D16" s="11"/>
      <c r="E16" s="13">
        <f>c_FS!E22</f>
        <v>16924</v>
      </c>
      <c r="F16" s="13">
        <f>c_FS!F22</f>
        <v>21953</v>
      </c>
      <c r="G16" s="13">
        <f>c_FS!G22</f>
        <v>25632.8125</v>
      </c>
      <c r="H16" s="13">
        <f>c_FS!H22</f>
        <v>28678.491805000001</v>
      </c>
      <c r="I16" s="13">
        <f>c_FS!I22</f>
        <v>31726.469490240004</v>
      </c>
    </row>
    <row r="17" spans="1:9" outlineLevel="1" x14ac:dyDescent="0.2">
      <c r="B17" s="47" t="s">
        <v>25</v>
      </c>
      <c r="C17" s="58"/>
      <c r="D17" s="38"/>
      <c r="E17" s="40">
        <f>E10+SUM(E12:E16)</f>
        <v>-87735</v>
      </c>
      <c r="F17" s="40">
        <f t="shared" ref="F17:I17" si="1">F10+SUM(F12:F16)</f>
        <v>19454</v>
      </c>
      <c r="G17" s="40">
        <f t="shared" si="1"/>
        <v>38449.21875</v>
      </c>
      <c r="H17" s="40">
        <f t="shared" si="1"/>
        <v>129053.21312250011</v>
      </c>
      <c r="I17" s="40">
        <f t="shared" si="1"/>
        <v>237948.52117680036</v>
      </c>
    </row>
    <row r="18" spans="1:9" s="53" customFormat="1" outlineLevel="1" x14ac:dyDescent="0.2">
      <c r="B18" s="54" t="s">
        <v>87</v>
      </c>
      <c r="D18" s="55"/>
      <c r="E18" s="56">
        <f>E17/E8</f>
        <v>-4.4042480776123535E-2</v>
      </c>
      <c r="F18" s="56">
        <f>F17/F8</f>
        <v>8.5668211166371779E-3</v>
      </c>
      <c r="G18" s="56">
        <f>G17/G8</f>
        <v>1.4999999999999999E-2</v>
      </c>
      <c r="H18" s="56">
        <f>H17/H8</f>
        <v>4.5000000000000033E-2</v>
      </c>
      <c r="I18" s="56">
        <f>I17/I8</f>
        <v>7.5000000000000108E-2</v>
      </c>
    </row>
    <row r="19" spans="1:9" outlineLevel="1" x14ac:dyDescent="0.2">
      <c r="B19" s="45" t="s">
        <v>229</v>
      </c>
      <c r="D19" s="11"/>
      <c r="E19" s="72">
        <f>-c_FS!E37</f>
        <v>57437</v>
      </c>
      <c r="F19" s="72">
        <f>-c_FS!F37</f>
        <v>57218</v>
      </c>
      <c r="G19" s="72">
        <f>-c_FS!G37</f>
        <v>54121.5</v>
      </c>
      <c r="H19" s="72">
        <f>-c_FS!H37</f>
        <v>54385.049999999996</v>
      </c>
      <c r="I19" s="72">
        <f>-c_FS!I37</f>
        <v>54569.535000000003</v>
      </c>
    </row>
    <row r="20" spans="1:9" outlineLevel="1" x14ac:dyDescent="0.2">
      <c r="B20" s="47" t="s">
        <v>88</v>
      </c>
      <c r="C20" s="58"/>
      <c r="D20" s="38"/>
      <c r="E20" s="40">
        <f>E17+E19</f>
        <v>-30298</v>
      </c>
      <c r="F20" s="40">
        <f>F17+F19</f>
        <v>76672</v>
      </c>
      <c r="G20" s="40">
        <f>G17+G19</f>
        <v>92570.71875</v>
      </c>
      <c r="H20" s="40">
        <f>H17+H19</f>
        <v>183438.2631225001</v>
      </c>
      <c r="I20" s="40">
        <f>I17+I19</f>
        <v>292518.0561768004</v>
      </c>
    </row>
    <row r="21" spans="1:9" s="53" customFormat="1" outlineLevel="1" x14ac:dyDescent="0.2">
      <c r="B21" s="54" t="s">
        <v>89</v>
      </c>
      <c r="D21" s="55"/>
      <c r="E21" s="56">
        <f>E20/E8</f>
        <v>-1.5209427053684287E-2</v>
      </c>
      <c r="F21" s="56">
        <f>F20/F8</f>
        <v>3.3763509234851732E-2</v>
      </c>
      <c r="G21" s="56">
        <f>G20/G8</f>
        <v>3.6114148125571476E-2</v>
      </c>
      <c r="H21" s="56">
        <f>H20/H8</f>
        <v>6.3963706449346208E-2</v>
      </c>
      <c r="I21" s="56">
        <f>I20/I8</f>
        <v>9.2200002356640276E-2</v>
      </c>
    </row>
    <row r="22" spans="1:9" outlineLevel="1" x14ac:dyDescent="0.2">
      <c r="B22" s="45" t="s">
        <v>90</v>
      </c>
      <c r="D22" s="11"/>
      <c r="E22" s="13">
        <f>c_FS!E58</f>
        <v>1686</v>
      </c>
      <c r="F22" s="13">
        <f>c_FS!F58</f>
        <v>-1291</v>
      </c>
      <c r="G22" s="13">
        <f>c_FS!G58</f>
        <v>-823.94660000000022</v>
      </c>
      <c r="H22" s="13">
        <f>c_FS!H58</f>
        <v>503.59455391147549</v>
      </c>
      <c r="I22" s="13">
        <f>c_FS!I58</f>
        <v>2939.6295948329671</v>
      </c>
    </row>
    <row r="23" spans="1:9" outlineLevel="1" x14ac:dyDescent="0.2">
      <c r="B23" s="45" t="s">
        <v>91</v>
      </c>
      <c r="D23" s="11"/>
      <c r="E23" s="72">
        <f>i_Historical!E23</f>
        <v>-1951</v>
      </c>
      <c r="F23" s="72">
        <f>i_Historical!F23</f>
        <v>-3882</v>
      </c>
      <c r="G23" s="72">
        <f>i_Inputs!G50</f>
        <v>0</v>
      </c>
      <c r="H23" s="72">
        <f>i_Inputs!H50</f>
        <v>0</v>
      </c>
      <c r="I23" s="72">
        <f>i_Inputs!I50</f>
        <v>0</v>
      </c>
    </row>
    <row r="24" spans="1:9" s="70" customFormat="1" outlineLevel="1" x14ac:dyDescent="0.2">
      <c r="B24" s="47" t="s">
        <v>92</v>
      </c>
      <c r="C24" s="71"/>
      <c r="D24" s="38"/>
      <c r="E24" s="108">
        <f>E17+SUM(E22:E23)</f>
        <v>-88000</v>
      </c>
      <c r="F24" s="108">
        <f t="shared" ref="F24:I24" si="2">F17+SUM(F22:F23)</f>
        <v>14281</v>
      </c>
      <c r="G24" s="108">
        <f t="shared" si="2"/>
        <v>37625.272149999997</v>
      </c>
      <c r="H24" s="108">
        <f t="shared" si="2"/>
        <v>129556.80767641158</v>
      </c>
      <c r="I24" s="108">
        <f t="shared" si="2"/>
        <v>240888.15077163334</v>
      </c>
    </row>
    <row r="25" spans="1:9" outlineLevel="1" x14ac:dyDescent="0.2">
      <c r="B25" s="45" t="s">
        <v>93</v>
      </c>
      <c r="D25" s="11"/>
      <c r="E25" s="72">
        <f>i_Historical!E25</f>
        <v>-14594</v>
      </c>
      <c r="F25" s="72">
        <f>i_Historical!F25</f>
        <v>-13361</v>
      </c>
      <c r="G25" s="72">
        <f>-MAX(0, G24)*i_Inputs!$D$49</f>
        <v>-8277.5598730000002</v>
      </c>
      <c r="H25" s="72">
        <f>-MAX(0, H24)*i_Inputs!$D$49</f>
        <v>-28502.497688810548</v>
      </c>
      <c r="I25" s="72">
        <f>-MAX(0, I24)*i_Inputs!$D$49</f>
        <v>-52995.393169759336</v>
      </c>
    </row>
    <row r="26" spans="1:9" ht="17" outlineLevel="1" thickBot="1" x14ac:dyDescent="0.25">
      <c r="B26" s="49" t="s">
        <v>94</v>
      </c>
      <c r="C26" s="50"/>
      <c r="D26" s="51"/>
      <c r="E26" s="52">
        <f>SUM(E24:E25)</f>
        <v>-102594</v>
      </c>
      <c r="F26" s="52">
        <f t="shared" ref="F26:I26" si="3">SUM(F24:F25)</f>
        <v>920</v>
      </c>
      <c r="G26" s="52">
        <f t="shared" si="3"/>
        <v>29347.712276999999</v>
      </c>
      <c r="H26" s="52">
        <f t="shared" si="3"/>
        <v>101054.30998760104</v>
      </c>
      <c r="I26" s="52">
        <f t="shared" si="3"/>
        <v>187892.75760187401</v>
      </c>
    </row>
    <row r="27" spans="1:9" s="53" customFormat="1" ht="17" outlineLevel="1" thickTop="1" x14ac:dyDescent="0.2">
      <c r="B27" s="54" t="s">
        <v>95</v>
      </c>
      <c r="D27" s="55"/>
      <c r="E27" s="56">
        <f>E26/E8</f>
        <v>-5.1501615920050363E-2</v>
      </c>
      <c r="F27" s="56">
        <f>F26/F8</f>
        <v>4.0513392758847555E-4</v>
      </c>
      <c r="G27" s="56">
        <f>G26/G8</f>
        <v>1.144927513397135E-2</v>
      </c>
      <c r="H27" s="56">
        <f>H26/H8</f>
        <v>3.523696806468133E-2</v>
      </c>
      <c r="I27" s="56">
        <f>I26/I8</f>
        <v>5.9222712334782587E-2</v>
      </c>
    </row>
    <row r="29" spans="1:9" s="7" customFormat="1" x14ac:dyDescent="0.2">
      <c r="A29" s="10" t="s">
        <v>127</v>
      </c>
      <c r="B29" s="44" t="s">
        <v>133</v>
      </c>
    </row>
    <row r="30" spans="1:9" outlineLevel="1" x14ac:dyDescent="0.2">
      <c r="B30" s="5"/>
    </row>
    <row r="31" spans="1:9" outlineLevel="1" x14ac:dyDescent="0.2">
      <c r="B31" s="45" t="s">
        <v>99</v>
      </c>
      <c r="D31" s="11"/>
      <c r="E31" s="13">
        <f>o_FS!E17*(1-i_Inputs!$D$49)</f>
        <v>-68433.3</v>
      </c>
      <c r="F31" s="13">
        <f>o_FS!F17*(1-i_Inputs!$D$49)</f>
        <v>15174.12</v>
      </c>
      <c r="G31" s="13">
        <f>o_FS!G17*(1-i_Inputs!$D$49)</f>
        <v>29990.390625</v>
      </c>
      <c r="H31" s="13">
        <f>o_FS!H17*(1-i_Inputs!$D$49)</f>
        <v>100661.50623555008</v>
      </c>
      <c r="I31" s="13">
        <f>o_FS!I17*(1-i_Inputs!$D$49)</f>
        <v>185599.84651790428</v>
      </c>
    </row>
    <row r="32" spans="1:9" outlineLevel="1" x14ac:dyDescent="0.2">
      <c r="B32" s="45" t="s">
        <v>221</v>
      </c>
      <c r="D32" s="11"/>
      <c r="E32" s="13">
        <f>o_FS!E19</f>
        <v>57437</v>
      </c>
      <c r="F32" s="13">
        <f>o_FS!F19</f>
        <v>57218</v>
      </c>
      <c r="G32" s="13">
        <f>o_FS!G19</f>
        <v>54121.5</v>
      </c>
      <c r="H32" s="13">
        <f>o_FS!H19</f>
        <v>54385.049999999996</v>
      </c>
      <c r="I32" s="13">
        <f>o_FS!I19</f>
        <v>54569.535000000003</v>
      </c>
    </row>
    <row r="33" spans="1:9" outlineLevel="1" x14ac:dyDescent="0.2">
      <c r="B33" s="45" t="s">
        <v>222</v>
      </c>
      <c r="D33" s="11"/>
      <c r="E33" s="72">
        <f>-c_FS!E36</f>
        <v>-24860</v>
      </c>
      <c r="F33" s="72">
        <f>-c_FS!F36</f>
        <v>-49348</v>
      </c>
      <c r="G33" s="72">
        <f>-c_FS!G36</f>
        <v>-55000</v>
      </c>
      <c r="H33" s="72">
        <f>-c_FS!H36</f>
        <v>-55000</v>
      </c>
      <c r="I33" s="72">
        <f>-c_FS!I36</f>
        <v>-55000</v>
      </c>
    </row>
    <row r="34" spans="1:9" outlineLevel="1" x14ac:dyDescent="0.2">
      <c r="B34" s="45" t="s">
        <v>223</v>
      </c>
      <c r="D34" s="11"/>
      <c r="E34" s="72">
        <f>-(c_FS!E31)</f>
        <v>1370</v>
      </c>
      <c r="F34" s="72">
        <f>-(c_FS!F31)</f>
        <v>25578</v>
      </c>
      <c r="G34" s="72">
        <f>-c_FS!G31</f>
        <v>9952.8540239726135</v>
      </c>
      <c r="H34" s="72">
        <f>-c_FS!H31</f>
        <v>-8598.8856842466048</v>
      </c>
      <c r="I34" s="72">
        <f>-c_FS!I31</f>
        <v>3203.6256673490279</v>
      </c>
    </row>
    <row r="35" spans="1:9" ht="17" outlineLevel="1" thickBot="1" x14ac:dyDescent="0.25">
      <c r="B35" s="49" t="s">
        <v>100</v>
      </c>
      <c r="C35" s="50"/>
      <c r="D35" s="51"/>
      <c r="E35" s="52">
        <f>SUM(E31:E34)</f>
        <v>-34486.300000000003</v>
      </c>
      <c r="F35" s="52">
        <f t="shared" ref="F35:I35" si="4">SUM(F31:F34)</f>
        <v>48622.119999999995</v>
      </c>
      <c r="G35" s="52">
        <f t="shared" si="4"/>
        <v>39064.744648972614</v>
      </c>
      <c r="H35" s="52">
        <f t="shared" si="4"/>
        <v>91447.670551303483</v>
      </c>
      <c r="I35" s="52">
        <f t="shared" si="4"/>
        <v>188373.00718525331</v>
      </c>
    </row>
    <row r="36" spans="1:9" ht="17" outlineLevel="1" thickTop="1" x14ac:dyDescent="0.2">
      <c r="B36" s="48"/>
      <c r="D36" s="21"/>
      <c r="E36" s="23"/>
      <c r="F36" s="23"/>
      <c r="G36" s="23"/>
      <c r="H36" s="23"/>
      <c r="I36" s="23"/>
    </row>
    <row r="37" spans="1:9" outlineLevel="1" x14ac:dyDescent="0.2">
      <c r="B37" s="45" t="s">
        <v>224</v>
      </c>
      <c r="D37" s="11"/>
      <c r="E37" s="72">
        <f>D39</f>
        <v>325013</v>
      </c>
      <c r="F37" s="72">
        <f>E39</f>
        <v>342247</v>
      </c>
      <c r="G37" s="72">
        <f>F39</f>
        <v>357038</v>
      </c>
      <c r="H37" s="72">
        <f>G39</f>
        <v>384660.83190148778</v>
      </c>
      <c r="I37" s="72">
        <f>H39</f>
        <v>465465.84478947567</v>
      </c>
    </row>
    <row r="38" spans="1:9" outlineLevel="1" x14ac:dyDescent="0.2">
      <c r="B38" s="45" t="s">
        <v>225</v>
      </c>
      <c r="D38" s="11"/>
      <c r="E38" s="72">
        <f>i_Historical!E30-E37</f>
        <v>17234</v>
      </c>
      <c r="F38" s="72">
        <f>i_Historical!F30-F37</f>
        <v>14791</v>
      </c>
      <c r="G38" s="72">
        <f>G35+G22*(1-i_Inputs!$D$49)+c_FS!G51+c_FS!G50+c_FS!G44+c_FS!G45</f>
        <v>27622.831901487807</v>
      </c>
      <c r="H38" s="72">
        <f>H35+H22*(1-i_Inputs!$D$49)+c_FS!H51+c_FS!H50+c_FS!H44+c_FS!H45</f>
        <v>80805.012887987919</v>
      </c>
      <c r="I38" s="72">
        <f>I35+I22*(1-i_Inputs!$D$49)+c_FS!I51+c_FS!I50+c_FS!I44+c_FS!I45</f>
        <v>178810.52207069477</v>
      </c>
    </row>
    <row r="39" spans="1:9" s="70" customFormat="1" outlineLevel="1" x14ac:dyDescent="0.2">
      <c r="B39" s="47" t="s">
        <v>226</v>
      </c>
      <c r="C39" s="71"/>
      <c r="D39" s="109">
        <f>i_Inputs!D47</f>
        <v>325013</v>
      </c>
      <c r="E39" s="108">
        <f t="shared" ref="E39:F39" si="5">SUM(E37:E38)</f>
        <v>342247</v>
      </c>
      <c r="F39" s="108">
        <f t="shared" si="5"/>
        <v>357038</v>
      </c>
      <c r="G39" s="108">
        <f>SUM(G37:G38)</f>
        <v>384660.83190148778</v>
      </c>
      <c r="H39" s="108">
        <f t="shared" ref="H39:I39" si="6">SUM(H37:H38)</f>
        <v>465465.84478947567</v>
      </c>
      <c r="I39" s="108">
        <f t="shared" si="6"/>
        <v>644276.36686017038</v>
      </c>
    </row>
    <row r="40" spans="1:9" outlineLevel="1" x14ac:dyDescent="0.2">
      <c r="B40" s="45" t="s">
        <v>227</v>
      </c>
      <c r="D40" s="11"/>
      <c r="E40" s="72">
        <f>-c_FS!E46</f>
        <v>-138498</v>
      </c>
      <c r="F40" s="72">
        <f>-c_FS!F46</f>
        <v>-527</v>
      </c>
      <c r="G40" s="72">
        <f>-c_FS!G46</f>
        <v>0</v>
      </c>
      <c r="H40" s="72">
        <f>-c_FS!H46</f>
        <v>0</v>
      </c>
      <c r="I40" s="72">
        <f>-c_FS!I46</f>
        <v>0</v>
      </c>
    </row>
    <row r="41" spans="1:9" outlineLevel="1" x14ac:dyDescent="0.2">
      <c r="B41" s="45" t="s">
        <v>228</v>
      </c>
      <c r="D41" s="11"/>
      <c r="E41" s="72">
        <f>-c_FS!E52</f>
        <v>-98876</v>
      </c>
      <c r="F41" s="72">
        <f>-c_FS!F52</f>
        <v>-107037</v>
      </c>
      <c r="G41" s="72">
        <f>-c_FS!G52</f>
        <v>-96764.765600515209</v>
      </c>
      <c r="H41" s="72">
        <f>-c_FS!H52</f>
        <v>-85729.304185148678</v>
      </c>
      <c r="I41" s="72">
        <f>-c_FS!I52</f>
        <v>-73873.907986620412</v>
      </c>
    </row>
    <row r="42" spans="1:9" ht="17" outlineLevel="1" thickBot="1" x14ac:dyDescent="0.25">
      <c r="B42" s="49" t="s">
        <v>101</v>
      </c>
      <c r="C42" s="50"/>
      <c r="D42" s="51"/>
      <c r="E42" s="52">
        <f>SUM(E39:E41)</f>
        <v>104873</v>
      </c>
      <c r="F42" s="52">
        <f>SUM(F39:F41)</f>
        <v>249474</v>
      </c>
      <c r="G42" s="52">
        <f>SUM(G39:G41)</f>
        <v>287896.0663009726</v>
      </c>
      <c r="H42" s="52">
        <f>SUM(H39:H41)</f>
        <v>379736.54060432699</v>
      </c>
      <c r="I42" s="52">
        <f>SUM(I39:I41)</f>
        <v>570402.45887354994</v>
      </c>
    </row>
    <row r="43" spans="1:9" s="53" customFormat="1" ht="17" outlineLevel="1" thickTop="1" x14ac:dyDescent="0.2">
      <c r="B43" s="180" t="s">
        <v>204</v>
      </c>
      <c r="E43" s="181">
        <f>E39-E37-E38</f>
        <v>0</v>
      </c>
      <c r="F43" s="181">
        <f>F39-F37-F38</f>
        <v>0</v>
      </c>
      <c r="G43" s="181">
        <f>G39-G37-G38</f>
        <v>-2.9103830456733704E-11</v>
      </c>
      <c r="H43" s="181">
        <f>H39-H37-H38</f>
        <v>0</v>
      </c>
      <c r="I43" s="181">
        <f>I39-I37-I38</f>
        <v>0</v>
      </c>
    </row>
    <row r="45" spans="1:9" s="7" customFormat="1" x14ac:dyDescent="0.2">
      <c r="A45" s="10" t="s">
        <v>127</v>
      </c>
      <c r="B45" s="44" t="s">
        <v>129</v>
      </c>
    </row>
  </sheetData>
  <sheetProtection algorithmName="SHA-512" hashValue="mMF9s06QKg6Ygh8Q1vTGorIMMTzjpy0aOlDb1TCYJNCeK2EAnbNuV8dNBzHKQAcy6zpqi/5w+ITG5NeoZlLxbw==" saltValue="7MEKFuBUZTo8ukhBuLtXZA==" spinCount="100000" sheet="1" objects="1" scenarios="1" formatColumns="0" formatRows="0" sort="0" autoFilter="0"/>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3F75-15D2-A74D-A4CC-99A7F136F7C0}">
  <dimension ref="A1"/>
  <sheetViews>
    <sheetView topLeftCell="XFD1048576" workbookViewId="0"/>
  </sheetViews>
  <sheetFormatPr baseColWidth="10" defaultColWidth="0" defaultRowHeight="15" customHeight="1" zeroHeight="1" x14ac:dyDescent="0.2"/>
  <cols>
    <col min="1" max="16384" width="10.83203125" hidden="1"/>
  </cols>
  <sheetData>
    <row r="1" hidden="1" x14ac:dyDescent="0.2"/>
  </sheetData>
  <sheetProtection algorithmName="SHA-512" hashValue="nupO2/iIggMKSqUbBCHTt8xGWOW377V8ZvkT+2qOSiXR3UBLT43Kal2jobgbgT0HFIUneEH8zNC0kKDs71d8MA==" saltValue="VVTaEuPyLYMsx9LiSJwq4g==" spinCount="100000" sheet="1" objects="1" scenarios="1" formatColumns="0" formatRows="0" sort="0" autoFilter="0"/>
  <pageMargins left="0.7" right="0.7" top="0.75" bottom="0.75" header="0.3" footer="0.3"/>
  <pageSetup paperSize="9"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J60"/>
  <sheetViews>
    <sheetView showGridLines="0" workbookViewId="0">
      <pane xSplit="4" ySplit="5" topLeftCell="E6" activePane="bottomRight" state="frozen"/>
      <selection pane="topRight" activeCell="E1" sqref="E1"/>
      <selection pane="bottomLeft" activeCell="A6" sqref="A6"/>
      <selection pane="bottomRight"/>
    </sheetView>
  </sheetViews>
  <sheetFormatPr baseColWidth="10" defaultColWidth="8.83203125" defaultRowHeight="16" outlineLevelRow="1" x14ac:dyDescent="0.2"/>
  <cols>
    <col min="1" max="1" width="3.83203125" customWidth="1"/>
    <col min="2" max="2" width="75.1640625" style="5" customWidth="1"/>
    <col min="3" max="3" width="8.5" customWidth="1"/>
    <col min="4" max="4" width="11.83203125" customWidth="1"/>
    <col min="5" max="9" width="19.5" customWidth="1"/>
  </cols>
  <sheetData>
    <row r="1" spans="1:10" ht="29" x14ac:dyDescent="0.35">
      <c r="A1" s="9" t="str">
        <f>Contents!$A1</f>
        <v>Bolt Technology OÜ - Draft Valuation Model</v>
      </c>
    </row>
    <row r="2" spans="1:10" x14ac:dyDescent="0.2">
      <c r="A2" s="69" t="str">
        <f>Contents!$A2</f>
        <v>Source: Bolt Technology OÜ Consolidated Annual Report 2025 (AS PricewaterhouseCoopers audit)</v>
      </c>
    </row>
    <row r="4" spans="1:10" s="1" customFormat="1" x14ac:dyDescent="0.2">
      <c r="B4" s="6" t="s">
        <v>144</v>
      </c>
      <c r="C4" s="2"/>
      <c r="E4" s="2" t="str">
        <f>i_Inputs!E4</f>
        <v>2024A</v>
      </c>
      <c r="F4" s="2" t="str">
        <f>i_Inputs!F4</f>
        <v>2025A</v>
      </c>
      <c r="G4" s="2" t="str">
        <f>i_Inputs!G4</f>
        <v>2026E</v>
      </c>
      <c r="H4" s="2" t="str">
        <f>i_Inputs!H4</f>
        <v>2027E</v>
      </c>
      <c r="I4" s="2" t="str">
        <f>i_Inputs!I4</f>
        <v>2028E</v>
      </c>
    </row>
    <row r="5" spans="1:10" s="60" customFormat="1" x14ac:dyDescent="0.2">
      <c r="E5" s="2" t="str">
        <f>i_Inputs!E5</f>
        <v>Actual</v>
      </c>
      <c r="F5" s="2" t="str">
        <f>i_Inputs!F5</f>
        <v>Actual</v>
      </c>
      <c r="G5" s="2" t="str">
        <f>i_Inputs!G5</f>
        <v>Estimate</v>
      </c>
      <c r="H5" s="2" t="str">
        <f>i_Inputs!H5</f>
        <v>Estimate</v>
      </c>
      <c r="I5" s="2" t="str">
        <f>i_Inputs!I5</f>
        <v>Estimate</v>
      </c>
      <c r="J5" s="68"/>
    </row>
    <row r="6" spans="1:10" s="7" customFormat="1" x14ac:dyDescent="0.2">
      <c r="A6" s="10" t="s">
        <v>127</v>
      </c>
      <c r="B6" s="44" t="s">
        <v>132</v>
      </c>
    </row>
    <row r="7" spans="1:10" outlineLevel="1" x14ac:dyDescent="0.2"/>
    <row r="8" spans="1:10" outlineLevel="1" x14ac:dyDescent="0.2">
      <c r="B8" s="45" t="s">
        <v>6</v>
      </c>
      <c r="C8" s="12"/>
      <c r="D8" s="11"/>
      <c r="E8" s="13">
        <f>IF(E$5="Actual",i_Historical!E10,D8*(1+i_Inputs!E8))</f>
        <v>1633907</v>
      </c>
      <c r="F8" s="13">
        <f>IF(F$5="Actual",i_Historical!F10,E8*(1+i_Inputs!F8))</f>
        <v>1847432</v>
      </c>
      <c r="G8" s="13">
        <f>IF(G$5="Actual",i_Historical!G10,F8*(1+i_Inputs!G8))</f>
        <v>2069123.84</v>
      </c>
      <c r="H8" s="13">
        <f>IF(H$5="Actual",i_Historical!H10,G8*(1+i_Inputs!H8))</f>
        <v>2296727.4624000001</v>
      </c>
      <c r="I8" s="13">
        <f>IF(I$5="Actual",i_Historical!I10,H8*(1+i_Inputs!I8))</f>
        <v>2526400.2086400003</v>
      </c>
    </row>
    <row r="9" spans="1:10" outlineLevel="1" x14ac:dyDescent="0.2">
      <c r="B9" s="45" t="s">
        <v>9</v>
      </c>
      <c r="C9" s="12"/>
      <c r="D9" s="11"/>
      <c r="E9" s="13">
        <f>IF(E$5="Actual",i_Historical!E11,D9*(1+i_Inputs!E9))</f>
        <v>185469</v>
      </c>
      <c r="F9" s="13">
        <f>IF(F$5="Actual",i_Historical!F11,E9*(1+i_Inputs!F9))</f>
        <v>240737</v>
      </c>
      <c r="G9" s="13">
        <f>IF(G$5="Actual",i_Historical!G11,F9*(1+i_Inputs!G9))</f>
        <v>284069.65999999997</v>
      </c>
      <c r="H9" s="13">
        <f>IF(H$5="Actual",i_Historical!H11,G9*(1+i_Inputs!H9))</f>
        <v>329520.80559999996</v>
      </c>
      <c r="I9" s="13">
        <f>IF(I$5="Actual",i_Historical!I11,H9*(1+i_Inputs!I9))</f>
        <v>375653.71838400001</v>
      </c>
    </row>
    <row r="10" spans="1:10" outlineLevel="1" x14ac:dyDescent="0.2">
      <c r="B10" s="45" t="s">
        <v>83</v>
      </c>
      <c r="C10" s="12"/>
      <c r="D10" s="11"/>
      <c r="E10" s="13">
        <f>IF(E$5="Actual",i_Historical!E12,D10*(1+i_Inputs!E10))</f>
        <v>172678</v>
      </c>
      <c r="F10" s="13">
        <f>IF(F$5="Actual",i_Historical!F12,E10*(1+i_Inputs!F10))</f>
        <v>182685</v>
      </c>
      <c r="G10" s="13">
        <f>IF(G$5="Actual",i_Historical!G12,F10*(1+i_Inputs!G10))</f>
        <v>210087.74999999997</v>
      </c>
      <c r="H10" s="13">
        <f>IF(H$5="Actual",i_Historical!H12,G10*(1+i_Inputs!H10))</f>
        <v>241600.91249999995</v>
      </c>
      <c r="I10" s="13">
        <f>IF(I$5="Actual",i_Historical!I12,H10*(1+i_Inputs!I10))</f>
        <v>270593.02199999994</v>
      </c>
    </row>
    <row r="11" spans="1:10" ht="17" outlineLevel="1" thickBot="1" x14ac:dyDescent="0.25">
      <c r="B11" s="49" t="s">
        <v>11</v>
      </c>
      <c r="C11" s="50"/>
      <c r="D11" s="51"/>
      <c r="E11" s="52">
        <f>SUM(E8:E10)</f>
        <v>1992054</v>
      </c>
      <c r="F11" s="52">
        <f>SUM(F8:F10)</f>
        <v>2270854</v>
      </c>
      <c r="G11" s="52">
        <f>SUM(G8:G10)</f>
        <v>2563281.25</v>
      </c>
      <c r="H11" s="52">
        <f>SUM(H8:H10)</f>
        <v>2867849.1805000002</v>
      </c>
      <c r="I11" s="52">
        <f>SUM(I8:I10)</f>
        <v>3172646.9490240002</v>
      </c>
    </row>
    <row r="12" spans="1:10" s="53" customFormat="1" ht="17" outlineLevel="1" thickTop="1" x14ac:dyDescent="0.2">
      <c r="B12" s="105" t="s">
        <v>209</v>
      </c>
      <c r="D12" s="106"/>
      <c r="E12" s="107">
        <f>IF(D11=0, 0, E11/D11-1)</f>
        <v>0</v>
      </c>
      <c r="F12" s="107">
        <f t="shared" ref="F12:I12" si="0">IF(E11=0, 0, F11/E11-1)</f>
        <v>0.13995604536824802</v>
      </c>
      <c r="G12" s="107">
        <f t="shared" si="0"/>
        <v>0.12877413078956201</v>
      </c>
      <c r="H12" s="107">
        <f t="shared" si="0"/>
        <v>0.1188195522828408</v>
      </c>
      <c r="I12" s="107">
        <f t="shared" si="0"/>
        <v>0.10628096156397571</v>
      </c>
    </row>
    <row r="14" spans="1:10" s="7" customFormat="1" x14ac:dyDescent="0.2">
      <c r="A14" s="10" t="s">
        <v>127</v>
      </c>
      <c r="B14" s="44" t="s">
        <v>155</v>
      </c>
    </row>
    <row r="15" spans="1:10" outlineLevel="1" x14ac:dyDescent="0.2"/>
    <row r="16" spans="1:10" s="70" customFormat="1" outlineLevel="1" x14ac:dyDescent="0.2">
      <c r="B16" s="79" t="s">
        <v>146</v>
      </c>
      <c r="E16" s="23">
        <f>IF(E$5="Actual",i_Historical!E14,-E$11*i_Inputs!E14)</f>
        <v>-864477</v>
      </c>
      <c r="F16" s="23">
        <f>IF(F$5="Actual",i_Historical!F14,-F$11*i_Inputs!F14)</f>
        <v>-831240</v>
      </c>
      <c r="G16" s="23">
        <f>IF(G$5="Actual",i_Historical!G14,-G$11*i_Inputs!G14)</f>
        <v>-909964.84375</v>
      </c>
      <c r="H16" s="23">
        <f>IF(H$5="Actual",i_Historical!H14,-H$11*i_Inputs!H14)</f>
        <v>-1003747.213175</v>
      </c>
      <c r="I16" s="23">
        <f>IF(I$5="Actual",i_Historical!I14,-I$11*i_Inputs!I14)</f>
        <v>-1094563.1974132799</v>
      </c>
    </row>
    <row r="17" spans="1:9" outlineLevel="1" x14ac:dyDescent="0.2"/>
    <row r="18" spans="1:9" outlineLevel="1" x14ac:dyDescent="0.2">
      <c r="B18" s="45" t="s">
        <v>19</v>
      </c>
      <c r="E18" s="13">
        <f>IF(E$5="Actual",i_Historical!E16,-E$11*i_Inputs!E16)</f>
        <v>-795513</v>
      </c>
      <c r="F18" s="13">
        <f>IF(F$5="Actual",i_Historical!F16,-F$11*i_Inputs!F16)</f>
        <v>-1048370</v>
      </c>
      <c r="G18" s="13">
        <f>IF(G$5="Actual",i_Historical!G16,-G$11*i_Inputs!G16)</f>
        <v>-1153476.5625</v>
      </c>
      <c r="H18" s="13">
        <f>IF(H$5="Actual",i_Historical!H16,-H$11*i_Inputs!H16)</f>
        <v>-1218835.9017125</v>
      </c>
      <c r="I18" s="13">
        <f>IF(I$5="Actual",i_Historical!I16,-I$11*i_Inputs!I16)</f>
        <v>-1269058.7796096001</v>
      </c>
    </row>
    <row r="19" spans="1:9" outlineLevel="1" x14ac:dyDescent="0.2">
      <c r="B19" s="45" t="s">
        <v>17</v>
      </c>
      <c r="E19" s="13">
        <f>IF(E$5="Actual",i_Historical!E17,-E$11*i_Inputs!E17)</f>
        <v>-107877</v>
      </c>
      <c r="F19" s="13">
        <f>IF(F$5="Actual",i_Historical!F17,-F$11*i_Inputs!F17)</f>
        <v>-127580</v>
      </c>
      <c r="G19" s="13">
        <f>IF(G$5="Actual",i_Historical!G17,-G$11*i_Inputs!G17)</f>
        <v>-128164.0625</v>
      </c>
      <c r="H19" s="13">
        <f>IF(H$5="Actual",i_Historical!H17,-H$11*i_Inputs!H17)</f>
        <v>-143392.45902500002</v>
      </c>
      <c r="I19" s="13">
        <f>IF(I$5="Actual",i_Historical!I17,-I$11*i_Inputs!I17)</f>
        <v>-158632.34745120001</v>
      </c>
    </row>
    <row r="20" spans="1:9" outlineLevel="1" x14ac:dyDescent="0.2">
      <c r="B20" s="45" t="s">
        <v>21</v>
      </c>
      <c r="E20" s="13">
        <f>IF(E$5="Actual",i_Historical!E18,-E$11*i_Inputs!E18)</f>
        <v>-319933</v>
      </c>
      <c r="F20" s="13">
        <f>IF(F$5="Actual",i_Historical!F18,-F$11*i_Inputs!F18)</f>
        <v>-253032</v>
      </c>
      <c r="G20" s="13">
        <f>IF(G$5="Actual",i_Historical!G18,-G$11*i_Inputs!G18)</f>
        <v>-307593.75</v>
      </c>
      <c r="H20" s="13">
        <f>IF(H$5="Actual",i_Historical!H18,-H$11*i_Inputs!H18)</f>
        <v>-344141.90166000003</v>
      </c>
      <c r="I20" s="13">
        <f>IF(I$5="Actual",i_Historical!I18,-I$11*i_Inputs!I18)</f>
        <v>-380717.63388288004</v>
      </c>
    </row>
    <row r="21" spans="1:9" outlineLevel="1" x14ac:dyDescent="0.2">
      <c r="B21" s="45" t="s">
        <v>23</v>
      </c>
      <c r="E21" s="13">
        <f>IF(E$5="Actual",i_Historical!E19,-E$11*i_Inputs!E19)</f>
        <v>-8913</v>
      </c>
      <c r="F21" s="13">
        <f>IF(F$5="Actual",i_Historical!F19,-F$11*i_Inputs!F19)</f>
        <v>-13131</v>
      </c>
      <c r="G21" s="13">
        <f>IF(G$5="Actual",i_Historical!G19,-G$11*i_Inputs!G19)</f>
        <v>-51265.625</v>
      </c>
      <c r="H21" s="13">
        <f>IF(H$5="Actual",i_Historical!H19,-H$11*i_Inputs!H19)</f>
        <v>-57356.983610000003</v>
      </c>
      <c r="I21" s="13">
        <f>IF(I$5="Actual",i_Historical!I19,-I$11*i_Inputs!I19)</f>
        <v>-63452.938980480008</v>
      </c>
    </row>
    <row r="22" spans="1:9" outlineLevel="1" x14ac:dyDescent="0.2">
      <c r="B22" s="45" t="s">
        <v>15</v>
      </c>
      <c r="E22" s="13">
        <f>IF(E$5="Actual",i_Historical!E20,E$11*i_Inputs!E20)</f>
        <v>16924</v>
      </c>
      <c r="F22" s="13">
        <f>IF(F$5="Actual",i_Historical!F20,F$11*i_Inputs!F20)</f>
        <v>21953</v>
      </c>
      <c r="G22" s="13">
        <f>IF(G$5="Actual",i_Historical!G20,G$11*i_Inputs!G20)</f>
        <v>25632.8125</v>
      </c>
      <c r="H22" s="13">
        <f>IF(H$5="Actual",i_Historical!H20,H$11*i_Inputs!H20)</f>
        <v>28678.491805000001</v>
      </c>
      <c r="I22" s="13">
        <f>IF(I$5="Actual",i_Historical!I20,I$11*i_Inputs!I20)</f>
        <v>31726.469490240004</v>
      </c>
    </row>
    <row r="23" spans="1:9" ht="17" outlineLevel="1" thickBot="1" x14ac:dyDescent="0.25">
      <c r="B23" s="49" t="s">
        <v>163</v>
      </c>
      <c r="C23" s="50"/>
      <c r="D23" s="51"/>
      <c r="E23" s="52">
        <f>SUM(E18:E22)</f>
        <v>-1215312</v>
      </c>
      <c r="F23" s="52">
        <f t="shared" ref="F23:I23" si="1">SUM(F18:F22)</f>
        <v>-1420160</v>
      </c>
      <c r="G23" s="52">
        <f t="shared" si="1"/>
        <v>-1614867.1875</v>
      </c>
      <c r="H23" s="52">
        <f t="shared" si="1"/>
        <v>-1735048.7542025</v>
      </c>
      <c r="I23" s="52">
        <f t="shared" si="1"/>
        <v>-1840135.2304339199</v>
      </c>
    </row>
    <row r="24" spans="1:9" s="53" customFormat="1" ht="17" outlineLevel="1" thickTop="1" x14ac:dyDescent="0.2">
      <c r="B24" s="105" t="s">
        <v>216</v>
      </c>
      <c r="D24" s="106"/>
      <c r="E24" s="107">
        <f>-E23/E11</f>
        <v>0.61007984723305697</v>
      </c>
      <c r="F24" s="107">
        <f t="shared" ref="F24:I24" si="2">-F23/F11</f>
        <v>0.62538586804787977</v>
      </c>
      <c r="G24" s="107">
        <f t="shared" si="2"/>
        <v>0.63</v>
      </c>
      <c r="H24" s="107">
        <f t="shared" si="2"/>
        <v>0.60499999999999998</v>
      </c>
      <c r="I24" s="107">
        <f t="shared" si="2"/>
        <v>0.57999999999999996</v>
      </c>
    </row>
    <row r="26" spans="1:9" s="7" customFormat="1" x14ac:dyDescent="0.2">
      <c r="A26" s="10" t="s">
        <v>127</v>
      </c>
      <c r="B26" s="44" t="s">
        <v>154</v>
      </c>
    </row>
    <row r="27" spans="1:9" outlineLevel="1" x14ac:dyDescent="0.2"/>
    <row r="28" spans="1:9" outlineLevel="1" x14ac:dyDescent="0.2">
      <c r="B28" s="45" t="s">
        <v>96</v>
      </c>
      <c r="D28" s="11"/>
      <c r="E28" s="13">
        <f>IF(E$5="Actual",i_Historical!E31,E11*i_Inputs!E24/365)</f>
        <v>100732</v>
      </c>
      <c r="F28" s="13">
        <f>IF(F$5="Actual",i_Historical!F31,F11*i_Inputs!F24/365)</f>
        <v>127467</v>
      </c>
      <c r="G28" s="13">
        <f>IF(G$5="Actual",i_Historical!G31,G11*i_Inputs!G24/365)</f>
        <v>140453.76712328766</v>
      </c>
      <c r="H28" s="13">
        <f>IF(H$5="Actual",i_Historical!H31,H11*i_Inputs!H24/365)</f>
        <v>157142.42084931509</v>
      </c>
      <c r="I28" s="13">
        <f>IF(I$5="Actual",i_Historical!I31,I11*i_Inputs!I24/365)</f>
        <v>173843.66843967122</v>
      </c>
    </row>
    <row r="29" spans="1:9" outlineLevel="1" x14ac:dyDescent="0.2">
      <c r="B29" s="45" t="s">
        <v>97</v>
      </c>
      <c r="D29" s="11"/>
      <c r="E29" s="13">
        <f>IF(E$5="Actual",i_Historical!E38,-c_FS!E16*i_Inputs!E25/365)</f>
        <v>136657</v>
      </c>
      <c r="F29" s="13">
        <f>IF(F$5="Actual",i_Historical!F38,-c_FS!F16*i_Inputs!F25/365)</f>
        <v>188970</v>
      </c>
      <c r="G29" s="13">
        <f>IF(G$5="Actual",i_Historical!G38,-c_FS!G16*i_Inputs!G25/365)</f>
        <v>211909.62114726027</v>
      </c>
      <c r="H29" s="13">
        <f>IF(H$5="Actual",i_Historical!H38,-c_FS!H16*i_Inputs!H25/365)</f>
        <v>219999.3891890411</v>
      </c>
      <c r="I29" s="13">
        <f>IF(I$5="Actual",i_Historical!I38,-c_FS!I16*i_Inputs!I25/365)</f>
        <v>239904.26244674626</v>
      </c>
    </row>
    <row r="30" spans="1:9" s="70" customFormat="1" ht="17" outlineLevel="1" thickBot="1" x14ac:dyDescent="0.25">
      <c r="B30" s="49" t="s">
        <v>98</v>
      </c>
      <c r="C30" s="76"/>
      <c r="D30" s="77">
        <f>i_Inputs!$D$26</f>
        <v>-34555</v>
      </c>
      <c r="E30" s="52">
        <f>E28-E29</f>
        <v>-35925</v>
      </c>
      <c r="F30" s="52">
        <f>F28-F29</f>
        <v>-61503</v>
      </c>
      <c r="G30" s="52">
        <f>G28-G29</f>
        <v>-71455.854023972614</v>
      </c>
      <c r="H30" s="52">
        <f>H28-H29</f>
        <v>-62856.968339726009</v>
      </c>
      <c r="I30" s="52">
        <f>I28-I29</f>
        <v>-66060.594007075037</v>
      </c>
    </row>
    <row r="31" spans="1:9" ht="17" outlineLevel="1" thickTop="1" x14ac:dyDescent="0.2">
      <c r="B31" s="45" t="s">
        <v>210</v>
      </c>
      <c r="D31" s="11"/>
      <c r="E31" s="72">
        <f>E30-D30</f>
        <v>-1370</v>
      </c>
      <c r="F31" s="13">
        <f>F30-E30</f>
        <v>-25578</v>
      </c>
      <c r="G31" s="13">
        <f>G30-F30</f>
        <v>-9952.8540239726135</v>
      </c>
      <c r="H31" s="13">
        <f>H30-G30</f>
        <v>8598.8856842466048</v>
      </c>
      <c r="I31" s="13">
        <f>I30-H30</f>
        <v>-3203.6256673490279</v>
      </c>
    </row>
    <row r="32" spans="1:9" x14ac:dyDescent="0.2">
      <c r="B32" s="45"/>
      <c r="D32" s="11"/>
      <c r="E32" s="13"/>
      <c r="F32" s="13"/>
      <c r="G32" s="13"/>
      <c r="H32" s="13"/>
      <c r="I32" s="13"/>
    </row>
    <row r="33" spans="1:9" s="7" customFormat="1" x14ac:dyDescent="0.2">
      <c r="A33" s="10" t="s">
        <v>127</v>
      </c>
      <c r="B33" s="44" t="s">
        <v>164</v>
      </c>
    </row>
    <row r="34" spans="1:9" outlineLevel="1" x14ac:dyDescent="0.2"/>
    <row r="35" spans="1:9" outlineLevel="1" x14ac:dyDescent="0.2">
      <c r="B35" s="45" t="s">
        <v>192</v>
      </c>
      <c r="D35" s="11"/>
      <c r="E35" s="72">
        <f>D39</f>
        <v>209987</v>
      </c>
      <c r="F35" s="72">
        <f t="shared" ref="F35:I35" si="3">E39</f>
        <v>189638</v>
      </c>
      <c r="G35" s="72">
        <f t="shared" si="3"/>
        <v>180405</v>
      </c>
      <c r="H35" s="72">
        <f t="shared" si="3"/>
        <v>181283.5</v>
      </c>
      <c r="I35" s="72">
        <f t="shared" si="3"/>
        <v>181898.45</v>
      </c>
    </row>
    <row r="36" spans="1:9" outlineLevel="1" x14ac:dyDescent="0.2">
      <c r="B36" s="45" t="s">
        <v>187</v>
      </c>
      <c r="D36" s="11"/>
      <c r="E36" s="13">
        <f>IF(E$5="Actual",-i_Historical!E54,i_Inputs!E28)</f>
        <v>24860</v>
      </c>
      <c r="F36" s="13">
        <f>IF(F$5="Actual",-i_Historical!F54,i_Inputs!F28)</f>
        <v>49348</v>
      </c>
      <c r="G36" s="13">
        <f>IF(G$5="Actual",-i_Historical!G54,i_Inputs!G28)</f>
        <v>55000</v>
      </c>
      <c r="H36" s="13">
        <f>IF(H$5="Actual",-i_Historical!H54,i_Inputs!H28)</f>
        <v>55000</v>
      </c>
      <c r="I36" s="13">
        <f>IF(I$5="Actual",-i_Historical!I54,i_Inputs!I28)</f>
        <v>55000</v>
      </c>
    </row>
    <row r="37" spans="1:9" outlineLevel="1" x14ac:dyDescent="0.2">
      <c r="B37" s="45" t="s">
        <v>188</v>
      </c>
      <c r="D37" s="11"/>
      <c r="E37" s="13">
        <f>IF(E$5="Actual",-i_Historical!E53,-E35*i_Inputs!$D$29)</f>
        <v>-57437</v>
      </c>
      <c r="F37" s="13">
        <f>IF(F$5="Actual",-i_Historical!F53,-F35*i_Inputs!$D$29)</f>
        <v>-57218</v>
      </c>
      <c r="G37" s="13">
        <f>IF(G$5="Actual",-i_Historical!G53,-G35*i_Inputs!$D$29)</f>
        <v>-54121.5</v>
      </c>
      <c r="H37" s="13">
        <f>IF(H$5="Actual",-i_Historical!H53,-H35*i_Inputs!$D$29)</f>
        <v>-54385.049999999996</v>
      </c>
      <c r="I37" s="13">
        <f>IF(I$5="Actual",-i_Historical!I53,-I35*i_Inputs!$D$29)</f>
        <v>-54569.535000000003</v>
      </c>
    </row>
    <row r="38" spans="1:9" outlineLevel="1" x14ac:dyDescent="0.2">
      <c r="B38" s="45" t="s">
        <v>213</v>
      </c>
      <c r="D38" s="11"/>
      <c r="E38" s="72">
        <f>IF(E$5="Actual",i_Historical!E34-SUM(E35:E37),i_Inputs!E31)</f>
        <v>12228</v>
      </c>
      <c r="F38" s="72">
        <f>IF(F$5="Actual",i_Historical!F34-SUM(F35:F37),i_Inputs!F31)</f>
        <v>-1363</v>
      </c>
      <c r="G38" s="72">
        <f>IF(G$5="Actual",i_Historical!G34-SUM(G35:G37),i_Inputs!G31)</f>
        <v>0</v>
      </c>
      <c r="H38" s="72">
        <f>IF(H$5="Actual",i_Historical!H34-SUM(H35:H37),i_Inputs!H31)</f>
        <v>0</v>
      </c>
      <c r="I38" s="72">
        <f>IF(I$5="Actual",i_Historical!I34-SUM(I35:I37),i_Inputs!I31)</f>
        <v>0</v>
      </c>
    </row>
    <row r="39" spans="1:9" s="70" customFormat="1" ht="17" outlineLevel="1" thickBot="1" x14ac:dyDescent="0.25">
      <c r="B39" s="49" t="s">
        <v>193</v>
      </c>
      <c r="C39" s="76"/>
      <c r="D39" s="87">
        <f>i_Inputs!D30</f>
        <v>209987</v>
      </c>
      <c r="E39" s="52">
        <f t="shared" ref="E39:F39" si="4">SUM(E35:E38)</f>
        <v>189638</v>
      </c>
      <c r="F39" s="52">
        <f t="shared" si="4"/>
        <v>180405</v>
      </c>
      <c r="G39" s="52">
        <f>SUM(G35:G38)</f>
        <v>181283.5</v>
      </c>
      <c r="H39" s="52">
        <f>SUM(H35:H38)</f>
        <v>181898.45</v>
      </c>
      <c r="I39" s="52">
        <f>SUM(I35:I38)</f>
        <v>182328.91500000001</v>
      </c>
    </row>
    <row r="40" spans="1:9" ht="17" thickTop="1" x14ac:dyDescent="0.2">
      <c r="E40" s="89"/>
      <c r="F40" s="89"/>
      <c r="G40" s="89"/>
      <c r="H40" s="89"/>
      <c r="I40" s="89"/>
    </row>
    <row r="41" spans="1:9" s="7" customFormat="1" x14ac:dyDescent="0.2">
      <c r="A41" s="10" t="s">
        <v>127</v>
      </c>
      <c r="B41" s="44" t="s">
        <v>178</v>
      </c>
    </row>
    <row r="42" spans="1:9" outlineLevel="1" x14ac:dyDescent="0.2"/>
    <row r="43" spans="1:9" outlineLevel="1" x14ac:dyDescent="0.2">
      <c r="B43" s="45" t="s">
        <v>194</v>
      </c>
      <c r="D43" s="11"/>
      <c r="E43" s="72">
        <f>D46</f>
        <v>139715</v>
      </c>
      <c r="F43" s="72">
        <f t="shared" ref="F43:I43" si="5">E46</f>
        <v>138498</v>
      </c>
      <c r="G43" s="72">
        <f t="shared" si="5"/>
        <v>527</v>
      </c>
      <c r="H43" s="72">
        <f t="shared" si="5"/>
        <v>0</v>
      </c>
      <c r="I43" s="72">
        <f t="shared" si="5"/>
        <v>0</v>
      </c>
    </row>
    <row r="44" spans="1:9" outlineLevel="1" x14ac:dyDescent="0.2">
      <c r="B44" s="5" t="s">
        <v>189</v>
      </c>
      <c r="E44" s="72">
        <f>IF(E$5="Actual",0,MAX(0,N(i_Inputs!E36)))</f>
        <v>0</v>
      </c>
      <c r="F44" s="72">
        <f>IF(F$5="Actual",0,MAX(0,N(i_Inputs!F36)))</f>
        <v>0</v>
      </c>
      <c r="G44" s="72">
        <f>IF(G$5="Actual",0,MAX(0,N(i_Inputs!G36)))</f>
        <v>0</v>
      </c>
      <c r="H44" s="72">
        <f>IF(H$5="Actual",0,MAX(0,N(i_Inputs!H36)))</f>
        <v>0</v>
      </c>
      <c r="I44" s="72">
        <f>IF(I$5="Actual",0,MAX(0,N(i_Inputs!I36)))</f>
        <v>0</v>
      </c>
    </row>
    <row r="45" spans="1:9" outlineLevel="1" x14ac:dyDescent="0.2">
      <c r="B45" s="5" t="s">
        <v>217</v>
      </c>
      <c r="E45" s="72">
        <f>IF(E$5="Actual",i_Historical!E39-SUM(E43:E44), MIN(0,N(i_Inputs!E36)))</f>
        <v>-1217</v>
      </c>
      <c r="F45" s="72">
        <f>IF(F$5="Actual",i_Historical!F39-SUM(F43:F44), MIN(0,N(i_Inputs!F36)))</f>
        <v>-137971</v>
      </c>
      <c r="G45" s="72">
        <f>IF(G$5="Actual",i_Historical!G39-SUM(G43:G44), MIN(0,N(i_Inputs!G36)))</f>
        <v>-527</v>
      </c>
      <c r="H45" s="72">
        <f>IF(H$5="Actual",i_Historical!H39-SUM(H43:H44), MIN(0,N(i_Inputs!H36)))</f>
        <v>0</v>
      </c>
      <c r="I45" s="72">
        <f>IF(I$5="Actual",i_Historical!I39-SUM(I43:I44), MIN(0,N(i_Inputs!I36)))</f>
        <v>0</v>
      </c>
    </row>
    <row r="46" spans="1:9" s="70" customFormat="1" ht="17" outlineLevel="1" thickBot="1" x14ac:dyDescent="0.25">
      <c r="B46" s="88" t="s">
        <v>218</v>
      </c>
      <c r="C46" s="76"/>
      <c r="D46" s="87">
        <f>i_Inputs!D37</f>
        <v>139715</v>
      </c>
      <c r="E46" s="52">
        <f t="shared" ref="E46:F46" si="6">SUM(E43:E45)</f>
        <v>138498</v>
      </c>
      <c r="F46" s="52">
        <f t="shared" si="6"/>
        <v>527</v>
      </c>
      <c r="G46" s="52">
        <f>SUM(G43:G45)</f>
        <v>0</v>
      </c>
      <c r="H46" s="52">
        <f>SUM(H43:H45)</f>
        <v>0</v>
      </c>
      <c r="I46" s="52">
        <f>SUM(I43:I45)</f>
        <v>0</v>
      </c>
    </row>
    <row r="47" spans="1:9" ht="17" outlineLevel="1" thickTop="1" x14ac:dyDescent="0.2"/>
    <row r="48" spans="1:9" outlineLevel="1" x14ac:dyDescent="0.2">
      <c r="B48" s="5" t="s">
        <v>190</v>
      </c>
      <c r="D48" s="11"/>
      <c r="E48" s="72">
        <f>D52</f>
        <v>96820</v>
      </c>
      <c r="F48" s="72">
        <f>E52</f>
        <v>98876</v>
      </c>
      <c r="G48" s="72">
        <f>F52</f>
        <v>107037</v>
      </c>
      <c r="H48" s="72">
        <f>G52</f>
        <v>96764.765600515209</v>
      </c>
      <c r="I48" s="72">
        <f>H52</f>
        <v>85729.304185148678</v>
      </c>
    </row>
    <row r="49" spans="1:9" outlineLevel="1" x14ac:dyDescent="0.2">
      <c r="B49" s="5" t="s">
        <v>202</v>
      </c>
      <c r="E49" s="72">
        <f>E38</f>
        <v>12228</v>
      </c>
      <c r="F49" s="72">
        <f>F38</f>
        <v>-1363</v>
      </c>
      <c r="G49" s="72">
        <f>G38</f>
        <v>0</v>
      </c>
      <c r="H49" s="72">
        <f>H38</f>
        <v>0</v>
      </c>
      <c r="I49" s="72">
        <f>I38</f>
        <v>0</v>
      </c>
    </row>
    <row r="50" spans="1:9" outlineLevel="1" x14ac:dyDescent="0.2">
      <c r="B50" s="5" t="s">
        <v>200</v>
      </c>
      <c r="E50" s="72">
        <f>-E55</f>
        <v>7193.7260000000006</v>
      </c>
      <c r="F50" s="72">
        <f>-F55</f>
        <v>7346.4868000000006</v>
      </c>
      <c r="G50" s="72">
        <f>-G55</f>
        <v>7952.8491000000004</v>
      </c>
      <c r="H50" s="72">
        <f>-H55</f>
        <v>7189.6220841182803</v>
      </c>
      <c r="I50" s="72">
        <f>-I55</f>
        <v>6369.687300956547</v>
      </c>
    </row>
    <row r="51" spans="1:9" outlineLevel="1" x14ac:dyDescent="0.2">
      <c r="B51" s="5" t="s">
        <v>203</v>
      </c>
      <c r="E51" s="72">
        <f>IF(E$5="Actual",i_Historical!E40-SUM(E48:E50),-i_Inputs!E41)</f>
        <v>-17365.725999999995</v>
      </c>
      <c r="F51" s="72">
        <f>IF(F$5="Actual",i_Historical!F40-SUM(F48:F50),-i_Inputs!F41)</f>
        <v>2177.5132000000012</v>
      </c>
      <c r="G51" s="72">
        <f>IF(G$5="Actual",i_Historical!G40-SUM(G48:G50),-i_Inputs!G41)</f>
        <v>-18225.083499484805</v>
      </c>
      <c r="H51" s="72">
        <f>IF(H$5="Actual",i_Historical!H40-SUM(H48:H50),-i_Inputs!H41)</f>
        <v>-18225.083499484805</v>
      </c>
      <c r="I51" s="72">
        <f>IF(I$5="Actual",i_Historical!I40-SUM(I48:I50),-i_Inputs!I41)</f>
        <v>-18225.083499484805</v>
      </c>
    </row>
    <row r="52" spans="1:9" s="70" customFormat="1" ht="17" outlineLevel="1" thickBot="1" x14ac:dyDescent="0.25">
      <c r="B52" s="88" t="s">
        <v>191</v>
      </c>
      <c r="C52" s="76"/>
      <c r="D52" s="87">
        <f>i_Inputs!D40</f>
        <v>96820</v>
      </c>
      <c r="E52" s="52">
        <f t="shared" ref="E52:F52" si="7">SUM(E48:E51)</f>
        <v>98876</v>
      </c>
      <c r="F52" s="52">
        <f t="shared" si="7"/>
        <v>107037</v>
      </c>
      <c r="G52" s="52">
        <f>SUM(G48:G51)</f>
        <v>96764.765600515209</v>
      </c>
      <c r="H52" s="52">
        <f>SUM(H48:H51)</f>
        <v>85729.304185148678</v>
      </c>
      <c r="I52" s="52">
        <f>SUM(I48:I51)</f>
        <v>73873.907986620412</v>
      </c>
    </row>
    <row r="53" spans="1:9" ht="17" outlineLevel="1" thickTop="1" x14ac:dyDescent="0.2"/>
    <row r="54" spans="1:9" outlineLevel="1" x14ac:dyDescent="0.2">
      <c r="B54" s="5" t="s">
        <v>197</v>
      </c>
      <c r="E54" s="72">
        <f>-AVERAGE(E43,E46)*i_Inputs!$D$35</f>
        <v>-6259.7924999999996</v>
      </c>
      <c r="F54" s="72">
        <f>-AVERAGE(F43,F46)*i_Inputs!$D$35</f>
        <v>-3128.0625</v>
      </c>
      <c r="G54" s="72">
        <f>-AVERAGE(G43,G46)*i_Inputs!$D$35</f>
        <v>-11.8575</v>
      </c>
      <c r="H54" s="72">
        <f>-AVERAGE(H43,H46)*i_Inputs!$D$35</f>
        <v>0</v>
      </c>
      <c r="I54" s="72">
        <f>-AVERAGE(I43,I46)*i_Inputs!$D$35</f>
        <v>0</v>
      </c>
    </row>
    <row r="55" spans="1:9" outlineLevel="1" x14ac:dyDescent="0.2">
      <c r="B55" s="5" t="s">
        <v>198</v>
      </c>
      <c r="E55" s="72">
        <f>-E48*i_Inputs!$D$39</f>
        <v>-7193.7260000000006</v>
      </c>
      <c r="F55" s="72">
        <f>-F48*i_Inputs!$D$39</f>
        <v>-7346.4868000000006</v>
      </c>
      <c r="G55" s="72">
        <f>-G48*i_Inputs!$D$39</f>
        <v>-7952.8491000000004</v>
      </c>
      <c r="H55" s="72">
        <f>-H48*i_Inputs!$D$39</f>
        <v>-7189.6220841182803</v>
      </c>
      <c r="I55" s="72">
        <f>-I48*i_Inputs!$D$39</f>
        <v>-6369.687300956547</v>
      </c>
    </row>
    <row r="56" spans="1:9" s="70" customFormat="1" ht="17" outlineLevel="1" thickBot="1" x14ac:dyDescent="0.25">
      <c r="B56" s="88" t="s">
        <v>199</v>
      </c>
      <c r="C56" s="76"/>
      <c r="D56" s="76"/>
      <c r="E56" s="87">
        <f>SUM(E54:E55)</f>
        <v>-13453.5185</v>
      </c>
      <c r="F56" s="87">
        <f>SUM(F54:F55)</f>
        <v>-10474.549300000001</v>
      </c>
      <c r="G56" s="52">
        <f>SUM(G54:G55)</f>
        <v>-7964.7066000000004</v>
      </c>
      <c r="H56" s="52">
        <f>SUM(H54:H55)</f>
        <v>-7189.6220841182803</v>
      </c>
      <c r="I56" s="52">
        <f>SUM(I54:I55)</f>
        <v>-6369.687300956547</v>
      </c>
    </row>
    <row r="57" spans="1:9" ht="17" outlineLevel="1" thickTop="1" x14ac:dyDescent="0.2"/>
    <row r="58" spans="1:9" s="70" customFormat="1" outlineLevel="1" x14ac:dyDescent="0.2">
      <c r="B58" s="48" t="s">
        <v>90</v>
      </c>
      <c r="E58" s="90">
        <f>IF(E$5="Actual",i_Historical!E22,E56+o_FS!E37*i_Inputs!$D$46)</f>
        <v>1686</v>
      </c>
      <c r="F58" s="90">
        <f>IF(F$5="Actual",i_Historical!F22,F56+o_FS!F37*i_Inputs!$D$46)</f>
        <v>-1291</v>
      </c>
      <c r="G58" s="90">
        <f>IF(G$5="Actual",i_Historical!G22,G56+o_FS!G37*i_Inputs!$D$46)</f>
        <v>-823.94660000000022</v>
      </c>
      <c r="H58" s="90">
        <f>IF(H$5="Actual",i_Historical!H22,H56+o_FS!H37*i_Inputs!$D$46)</f>
        <v>503.59455391147549</v>
      </c>
      <c r="I58" s="90">
        <f>IF(I$5="Actual",i_Historical!I22,I56+o_FS!I37*i_Inputs!$D$46)</f>
        <v>2939.6295948329671</v>
      </c>
    </row>
    <row r="60" spans="1:9" s="7" customFormat="1" x14ac:dyDescent="0.2">
      <c r="A60" s="10" t="s">
        <v>127</v>
      </c>
      <c r="B60" s="44" t="s">
        <v>129</v>
      </c>
    </row>
  </sheetData>
  <sheetProtection algorithmName="SHA-512" hashValue="EQEv3ugaGT4FzcMo46VzBnZLmTeegRpN3XBlqfYws2WtRDBjfV/oAyRo0HDoz+UlJvXZhRUMb3MEcRiCbNkHFg==" saltValue="E4bGSMSTDePDgJ2VY2Zzjw==" spinCount="100000" sheet="1" objects="1" scenarios="1" formatColumns="0" formatRows="0" sort="0" autoFilter="0"/>
  <pageMargins left="0.75" right="0.75" top="1" bottom="1" header="0.5" footer="0.5"/>
  <pageSetup paperSize="9"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C0BD-11EA-DB47-9896-C0E6F8C3E4F5}">
  <dimension ref="A1"/>
  <sheetViews>
    <sheetView topLeftCell="XFD1048576" workbookViewId="0"/>
  </sheetViews>
  <sheetFormatPr baseColWidth="10" defaultColWidth="0" defaultRowHeight="15" customHeight="1" zeroHeight="1" x14ac:dyDescent="0.2"/>
  <cols>
    <col min="1" max="16384" width="10.83203125" hidden="1"/>
  </cols>
  <sheetData>
    <row r="1" hidden="1" x14ac:dyDescent="0.2"/>
  </sheetData>
  <sheetProtection algorithmName="SHA-512" hashValue="RTmTcVRG6BsJNDwwuVJIwNPPpC8//8p8O6IZbif47Ukqsi3NizMB72hRDkWnaETCip/bq+NfQywhMQXSqRldSA==" saltValue="dT2muAXv4ktJFOWBLfJDRw==" spinCount="100000" sheet="1" objects="1" scenarios="1" formatColumns="0" formatRows="0" sort="0" autoFilter="0"/>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J65"/>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baseColWidth="10" defaultColWidth="8.83203125" defaultRowHeight="16" outlineLevelRow="1" x14ac:dyDescent="0.2"/>
  <cols>
    <col min="1" max="1" width="3.83203125" customWidth="1"/>
    <col min="2" max="2" width="76" style="5" customWidth="1"/>
    <col min="3" max="3" width="11.6640625" customWidth="1"/>
    <col min="4" max="9" width="12" customWidth="1"/>
    <col min="10" max="10" width="46.83203125" customWidth="1"/>
  </cols>
  <sheetData>
    <row r="1" spans="1:10" ht="29" x14ac:dyDescent="0.35">
      <c r="A1" s="9" t="str">
        <f>Contents!$A1</f>
        <v>Bolt Technology OÜ - Draft Valuation Model</v>
      </c>
    </row>
    <row r="2" spans="1:10" x14ac:dyDescent="0.2">
      <c r="A2" s="69" t="str">
        <f>Contents!$A2</f>
        <v>Source: Bolt Technology OÜ Consolidated Annual Report 2025 (AS PricewaterhouseCoopers audit)</v>
      </c>
    </row>
    <row r="3" spans="1:10" x14ac:dyDescent="0.2">
      <c r="A3" s="3"/>
      <c r="E3" s="27"/>
      <c r="F3" s="27"/>
    </row>
    <row r="4" spans="1:10" s="68" customFormat="1" x14ac:dyDescent="0.2">
      <c r="B4" s="43"/>
      <c r="C4" s="68" t="s">
        <v>1</v>
      </c>
      <c r="E4" s="68" t="str">
        <f>i_Historical!E4</f>
        <v>2024A</v>
      </c>
      <c r="F4" s="68" t="str">
        <f>i_Historical!F4</f>
        <v>2025A</v>
      </c>
      <c r="G4" s="68" t="str">
        <f>i_Historical!G4</f>
        <v>2026E</v>
      </c>
      <c r="H4" s="68" t="str">
        <f>i_Historical!H4</f>
        <v>2027E</v>
      </c>
      <c r="I4" s="68" t="str">
        <f>i_Historical!I4</f>
        <v>2028E</v>
      </c>
      <c r="J4" s="73" t="s">
        <v>220</v>
      </c>
    </row>
    <row r="5" spans="1:10" s="60" customFormat="1" x14ac:dyDescent="0.2">
      <c r="E5" s="68" t="str">
        <f>i_Historical!E5</f>
        <v>Actual</v>
      </c>
      <c r="F5" s="68" t="str">
        <f>i_Historical!F5</f>
        <v>Actual</v>
      </c>
      <c r="G5" s="68" t="str">
        <f>i_Historical!G5</f>
        <v>Estimate</v>
      </c>
      <c r="H5" s="68" t="str">
        <f>i_Historical!H5</f>
        <v>Estimate</v>
      </c>
      <c r="I5" s="68" t="str">
        <f>i_Historical!I5</f>
        <v>Estimate</v>
      </c>
      <c r="J5" s="68"/>
    </row>
    <row r="6" spans="1:10" s="7" customFormat="1" x14ac:dyDescent="0.2">
      <c r="A6" s="10" t="s">
        <v>127</v>
      </c>
      <c r="B6" s="44" t="s">
        <v>140</v>
      </c>
    </row>
    <row r="7" spans="1:10" outlineLevel="1" x14ac:dyDescent="0.2"/>
    <row r="8" spans="1:10" outlineLevel="1" x14ac:dyDescent="0.2">
      <c r="B8" s="45" t="s">
        <v>6</v>
      </c>
      <c r="C8" s="12" t="s">
        <v>58</v>
      </c>
      <c r="E8" s="28"/>
      <c r="F8" s="28"/>
      <c r="G8" s="212">
        <v>0.12</v>
      </c>
      <c r="H8" s="212">
        <v>0.11</v>
      </c>
      <c r="I8" s="212">
        <v>0.1</v>
      </c>
      <c r="J8" s="218" t="s">
        <v>59</v>
      </c>
    </row>
    <row r="9" spans="1:10" outlineLevel="1" x14ac:dyDescent="0.2">
      <c r="B9" s="45" t="s">
        <v>166</v>
      </c>
      <c r="C9" s="12" t="s">
        <v>58</v>
      </c>
      <c r="E9" s="28"/>
      <c r="F9" s="28"/>
      <c r="G9" s="212">
        <v>0.18</v>
      </c>
      <c r="H9" s="212">
        <v>0.16</v>
      </c>
      <c r="I9" s="212">
        <v>0.14000000000000001</v>
      </c>
      <c r="J9" s="218" t="s">
        <v>60</v>
      </c>
    </row>
    <row r="10" spans="1:10" outlineLevel="1" x14ac:dyDescent="0.2">
      <c r="B10" s="45" t="s">
        <v>167</v>
      </c>
      <c r="C10" s="12" t="s">
        <v>58</v>
      </c>
      <c r="E10" s="28"/>
      <c r="F10" s="28"/>
      <c r="G10" s="212">
        <v>0.15</v>
      </c>
      <c r="H10" s="212">
        <v>0.15</v>
      </c>
      <c r="I10" s="212">
        <v>0.12</v>
      </c>
      <c r="J10" s="218" t="s">
        <v>61</v>
      </c>
    </row>
    <row r="11" spans="1:10" x14ac:dyDescent="0.2">
      <c r="B11" s="46"/>
    </row>
    <row r="12" spans="1:10" s="7" customFormat="1" x14ac:dyDescent="0.2">
      <c r="A12" s="10" t="s">
        <v>127</v>
      </c>
      <c r="B12" s="44" t="s">
        <v>181</v>
      </c>
    </row>
    <row r="13" spans="1:10" outlineLevel="1" x14ac:dyDescent="0.2">
      <c r="B13" s="46"/>
    </row>
    <row r="14" spans="1:10" outlineLevel="1" x14ac:dyDescent="0.2">
      <c r="B14" s="45" t="s">
        <v>179</v>
      </c>
      <c r="C14" s="12" t="s">
        <v>58</v>
      </c>
      <c r="E14" s="28"/>
      <c r="F14" s="28"/>
      <c r="G14" s="212">
        <v>0.35499999999999998</v>
      </c>
      <c r="H14" s="212">
        <v>0.35</v>
      </c>
      <c r="I14" s="212">
        <v>0.34499999999999997</v>
      </c>
      <c r="J14" s="218" t="s">
        <v>62</v>
      </c>
    </row>
    <row r="15" spans="1:10" outlineLevel="1" x14ac:dyDescent="0.2">
      <c r="B15" s="45"/>
      <c r="C15" s="12"/>
    </row>
    <row r="16" spans="1:10" outlineLevel="1" x14ac:dyDescent="0.2">
      <c r="B16" s="45" t="s">
        <v>170</v>
      </c>
      <c r="C16" s="12" t="s">
        <v>58</v>
      </c>
      <c r="E16" s="28"/>
      <c r="F16" s="28"/>
      <c r="G16" s="212">
        <v>0.45</v>
      </c>
      <c r="H16" s="212">
        <v>0.42499999999999999</v>
      </c>
      <c r="I16" s="212">
        <v>0.4</v>
      </c>
      <c r="J16" s="218" t="s">
        <v>185</v>
      </c>
    </row>
    <row r="17" spans="1:10" outlineLevel="1" x14ac:dyDescent="0.2">
      <c r="B17" s="45" t="s">
        <v>171</v>
      </c>
      <c r="C17" s="12" t="s">
        <v>58</v>
      </c>
      <c r="E17" s="28"/>
      <c r="F17" s="28"/>
      <c r="G17" s="212">
        <v>0.05</v>
      </c>
      <c r="H17" s="212">
        <v>0.05</v>
      </c>
      <c r="I17" s="212">
        <v>0.05</v>
      </c>
      <c r="J17" s="218" t="s">
        <v>63</v>
      </c>
    </row>
    <row r="18" spans="1:10" outlineLevel="1" x14ac:dyDescent="0.2">
      <c r="B18" s="45" t="s">
        <v>142</v>
      </c>
      <c r="C18" s="12" t="s">
        <v>58</v>
      </c>
      <c r="E18" s="28"/>
      <c r="F18" s="28"/>
      <c r="G18" s="212">
        <v>0.12</v>
      </c>
      <c r="H18" s="212">
        <v>0.12</v>
      </c>
      <c r="I18" s="212">
        <v>0.12</v>
      </c>
      <c r="J18" s="218" t="s">
        <v>64</v>
      </c>
    </row>
    <row r="19" spans="1:10" outlineLevel="1" x14ac:dyDescent="0.2">
      <c r="B19" s="45" t="s">
        <v>23</v>
      </c>
      <c r="C19" s="12" t="s">
        <v>58</v>
      </c>
      <c r="E19" s="28"/>
      <c r="F19" s="28"/>
      <c r="G19" s="212">
        <v>0.02</v>
      </c>
      <c r="H19" s="212">
        <v>0.02</v>
      </c>
      <c r="I19" s="212">
        <v>0.02</v>
      </c>
      <c r="J19" s="218" t="s">
        <v>86</v>
      </c>
    </row>
    <row r="20" spans="1:10" outlineLevel="1" x14ac:dyDescent="0.2">
      <c r="B20" s="45" t="s">
        <v>15</v>
      </c>
      <c r="C20" s="12" t="s">
        <v>58</v>
      </c>
      <c r="E20" s="28"/>
      <c r="F20" s="28"/>
      <c r="G20" s="212">
        <v>0.01</v>
      </c>
      <c r="H20" s="212">
        <v>0.01</v>
      </c>
      <c r="I20" s="212">
        <v>0.01</v>
      </c>
      <c r="J20" s="218" t="s">
        <v>160</v>
      </c>
    </row>
    <row r="21" spans="1:10" x14ac:dyDescent="0.2">
      <c r="B21" s="46"/>
    </row>
    <row r="22" spans="1:10" s="7" customFormat="1" x14ac:dyDescent="0.2">
      <c r="A22" s="10" t="s">
        <v>127</v>
      </c>
      <c r="B22" s="44" t="s">
        <v>180</v>
      </c>
    </row>
    <row r="23" spans="1:10" outlineLevel="1" x14ac:dyDescent="0.2">
      <c r="B23" s="46"/>
    </row>
    <row r="24" spans="1:10" outlineLevel="1" x14ac:dyDescent="0.2">
      <c r="B24" s="45" t="s">
        <v>152</v>
      </c>
      <c r="C24" s="12" t="s">
        <v>151</v>
      </c>
      <c r="E24" s="28"/>
      <c r="F24" s="28"/>
      <c r="G24" s="214">
        <v>20</v>
      </c>
      <c r="H24" s="214">
        <v>20</v>
      </c>
      <c r="I24" s="214">
        <v>20</v>
      </c>
      <c r="J24" s="218" t="s">
        <v>65</v>
      </c>
    </row>
    <row r="25" spans="1:10" outlineLevel="1" x14ac:dyDescent="0.2">
      <c r="B25" s="45" t="s">
        <v>153</v>
      </c>
      <c r="C25" s="12" t="s">
        <v>151</v>
      </c>
      <c r="E25" s="28"/>
      <c r="F25" s="28"/>
      <c r="G25" s="214">
        <v>85</v>
      </c>
      <c r="H25" s="214">
        <v>80</v>
      </c>
      <c r="I25" s="214">
        <v>80</v>
      </c>
      <c r="J25" s="218" t="s">
        <v>66</v>
      </c>
    </row>
    <row r="26" spans="1:10" outlineLevel="1" x14ac:dyDescent="0.2">
      <c r="B26" s="45" t="s">
        <v>161</v>
      </c>
      <c r="C26" s="12" t="s">
        <v>8</v>
      </c>
      <c r="D26" s="214">
        <v>-34555</v>
      </c>
      <c r="E26" s="28"/>
      <c r="F26" s="28"/>
      <c r="G26" s="28"/>
      <c r="H26" s="28"/>
      <c r="I26" s="28"/>
      <c r="J26" s="218" t="s">
        <v>169</v>
      </c>
    </row>
    <row r="27" spans="1:10" outlineLevel="1" x14ac:dyDescent="0.2">
      <c r="B27" s="46"/>
    </row>
    <row r="28" spans="1:10" outlineLevel="1" x14ac:dyDescent="0.2">
      <c r="B28" s="45" t="s">
        <v>168</v>
      </c>
      <c r="C28" s="12" t="s">
        <v>8</v>
      </c>
      <c r="E28" s="28"/>
      <c r="F28" s="28"/>
      <c r="G28" s="214">
        <v>55000</v>
      </c>
      <c r="H28" s="214">
        <v>55000</v>
      </c>
      <c r="I28" s="214">
        <v>55000</v>
      </c>
      <c r="J28" s="218" t="s">
        <v>159</v>
      </c>
    </row>
    <row r="29" spans="1:10" outlineLevel="1" x14ac:dyDescent="0.2">
      <c r="B29" s="45" t="s">
        <v>236</v>
      </c>
      <c r="C29" s="12" t="s">
        <v>58</v>
      </c>
      <c r="D29" s="212">
        <v>0.3</v>
      </c>
      <c r="E29" s="28"/>
      <c r="F29" s="28"/>
      <c r="G29" s="28"/>
      <c r="H29" s="28"/>
      <c r="I29" s="28"/>
      <c r="J29" s="218" t="s">
        <v>67</v>
      </c>
    </row>
    <row r="30" spans="1:10" outlineLevel="1" x14ac:dyDescent="0.2">
      <c r="B30" s="45" t="s">
        <v>162</v>
      </c>
      <c r="C30" s="12" t="s">
        <v>8</v>
      </c>
      <c r="D30" s="214">
        <v>209987</v>
      </c>
      <c r="E30" s="28"/>
      <c r="F30" s="28"/>
      <c r="G30" s="28"/>
      <c r="H30" s="28"/>
      <c r="I30" s="28"/>
      <c r="J30" s="218" t="s">
        <v>169</v>
      </c>
    </row>
    <row r="31" spans="1:10" outlineLevel="1" x14ac:dyDescent="0.2">
      <c r="B31" s="45" t="s">
        <v>211</v>
      </c>
      <c r="C31" s="12" t="s">
        <v>8</v>
      </c>
      <c r="E31" s="28"/>
      <c r="F31" s="28"/>
      <c r="G31" s="4"/>
      <c r="H31" s="4"/>
      <c r="I31" s="4"/>
      <c r="J31" s="218" t="s">
        <v>212</v>
      </c>
    </row>
    <row r="32" spans="1:10" x14ac:dyDescent="0.2">
      <c r="B32" s="46"/>
    </row>
    <row r="33" spans="1:10" s="7" customFormat="1" x14ac:dyDescent="0.2">
      <c r="A33" s="10" t="s">
        <v>127</v>
      </c>
      <c r="B33" s="44" t="s">
        <v>178</v>
      </c>
    </row>
    <row r="34" spans="1:10" outlineLevel="1" x14ac:dyDescent="0.2">
      <c r="B34" s="46"/>
    </row>
    <row r="35" spans="1:10" outlineLevel="1" x14ac:dyDescent="0.2">
      <c r="B35" s="5" t="s">
        <v>173</v>
      </c>
      <c r="C35" s="12" t="s">
        <v>58</v>
      </c>
      <c r="D35" s="212">
        <v>4.4999999999999998E-2</v>
      </c>
      <c r="E35" s="28"/>
      <c r="F35" s="28"/>
      <c r="G35" s="28"/>
      <c r="H35" s="28"/>
      <c r="I35" s="28"/>
      <c r="J35" s="218" t="s">
        <v>175</v>
      </c>
    </row>
    <row r="36" spans="1:10" outlineLevel="1" x14ac:dyDescent="0.2">
      <c r="B36" s="5" t="s">
        <v>219</v>
      </c>
      <c r="C36" s="12" t="s">
        <v>8</v>
      </c>
      <c r="D36" s="12"/>
      <c r="E36" s="28"/>
      <c r="F36" s="28"/>
      <c r="G36" s="214">
        <v>-527</v>
      </c>
      <c r="H36" s="4"/>
      <c r="I36" s="4"/>
      <c r="J36" s="218" t="s">
        <v>230</v>
      </c>
    </row>
    <row r="37" spans="1:10" outlineLevel="1" x14ac:dyDescent="0.2">
      <c r="B37" s="45" t="s">
        <v>184</v>
      </c>
      <c r="C37" s="12" t="s">
        <v>8</v>
      </c>
      <c r="D37" s="214">
        <v>139715</v>
      </c>
      <c r="E37" s="28"/>
      <c r="F37" s="28"/>
      <c r="G37" s="28"/>
      <c r="H37" s="28"/>
      <c r="I37" s="28"/>
      <c r="J37" s="218" t="s">
        <v>169</v>
      </c>
    </row>
    <row r="38" spans="1:10" outlineLevel="1" x14ac:dyDescent="0.2">
      <c r="B38" s="45"/>
      <c r="C38" s="45"/>
      <c r="D38" s="45"/>
      <c r="E38" s="45"/>
      <c r="F38" s="45"/>
      <c r="G38" s="45"/>
      <c r="H38" s="45"/>
      <c r="I38" s="45"/>
      <c r="J38" s="45"/>
    </row>
    <row r="39" spans="1:10" outlineLevel="1" x14ac:dyDescent="0.2">
      <c r="B39" s="5" t="s">
        <v>183</v>
      </c>
      <c r="C39" s="12" t="s">
        <v>58</v>
      </c>
      <c r="D39" s="212">
        <v>7.4300000000000005E-2</v>
      </c>
      <c r="E39" s="28"/>
      <c r="F39" s="28"/>
      <c r="G39" s="28"/>
      <c r="H39" s="28"/>
      <c r="I39" s="28"/>
      <c r="J39" s="218" t="s">
        <v>196</v>
      </c>
    </row>
    <row r="40" spans="1:10" outlineLevel="1" x14ac:dyDescent="0.2">
      <c r="B40" s="45" t="s">
        <v>195</v>
      </c>
      <c r="C40" s="12" t="s">
        <v>8</v>
      </c>
      <c r="D40" s="214">
        <v>96820</v>
      </c>
      <c r="E40" s="28"/>
      <c r="F40" s="28"/>
      <c r="G40" s="28"/>
      <c r="H40" s="28"/>
      <c r="I40" s="28"/>
      <c r="J40" s="218" t="s">
        <v>169</v>
      </c>
    </row>
    <row r="41" spans="1:10" outlineLevel="1" x14ac:dyDescent="0.2">
      <c r="B41" s="45" t="s">
        <v>201</v>
      </c>
      <c r="C41" s="12" t="s">
        <v>8</v>
      </c>
      <c r="E41" s="28"/>
      <c r="F41" s="28"/>
      <c r="G41" s="4">
        <f>PMT($D$39,$D$42,-c_FS!$F$52)</f>
        <v>18225.083499484805</v>
      </c>
      <c r="H41" s="4">
        <f>PMT($D$39,$D$42,-c_FS!$F$52)</f>
        <v>18225.083499484805</v>
      </c>
      <c r="I41" s="4">
        <f>PMT($D$39,$D$42,-c_FS!$F$52)</f>
        <v>18225.083499484805</v>
      </c>
      <c r="J41" s="218" t="s">
        <v>235</v>
      </c>
    </row>
    <row r="42" spans="1:10" outlineLevel="1" x14ac:dyDescent="0.2">
      <c r="B42" s="5" t="s">
        <v>233</v>
      </c>
      <c r="C42" s="12" t="s">
        <v>234</v>
      </c>
      <c r="D42" s="214">
        <v>8</v>
      </c>
    </row>
    <row r="43" spans="1:10" x14ac:dyDescent="0.2">
      <c r="C43" s="12"/>
      <c r="J43" s="11"/>
    </row>
    <row r="44" spans="1:10" s="7" customFormat="1" x14ac:dyDescent="0.2">
      <c r="A44" s="10" t="s">
        <v>127</v>
      </c>
      <c r="B44" s="44" t="s">
        <v>158</v>
      </c>
    </row>
    <row r="45" spans="1:10" outlineLevel="1" x14ac:dyDescent="0.2">
      <c r="B45" s="46"/>
    </row>
    <row r="46" spans="1:10" outlineLevel="1" x14ac:dyDescent="0.2">
      <c r="B46" s="45" t="s">
        <v>174</v>
      </c>
      <c r="C46" s="12" t="s">
        <v>58</v>
      </c>
      <c r="D46" s="212">
        <v>0.02</v>
      </c>
      <c r="E46" s="28"/>
      <c r="F46" s="28"/>
      <c r="G46" s="28"/>
      <c r="H46" s="28"/>
      <c r="I46" s="28"/>
      <c r="J46" s="218" t="s">
        <v>182</v>
      </c>
    </row>
    <row r="47" spans="1:10" outlineLevel="1" x14ac:dyDescent="0.2">
      <c r="B47" s="45" t="s">
        <v>172</v>
      </c>
      <c r="C47" s="12" t="s">
        <v>8</v>
      </c>
      <c r="D47" s="214">
        <v>325013</v>
      </c>
      <c r="E47" s="28"/>
      <c r="F47" s="28"/>
      <c r="G47" s="28"/>
      <c r="H47" s="28"/>
      <c r="I47" s="28"/>
      <c r="J47" s="218" t="s">
        <v>169</v>
      </c>
    </row>
    <row r="48" spans="1:10" outlineLevel="1" x14ac:dyDescent="0.2">
      <c r="B48" s="45"/>
      <c r="C48" s="12"/>
      <c r="D48" s="12"/>
      <c r="E48" s="12"/>
      <c r="F48" s="12"/>
      <c r="G48" s="12"/>
      <c r="H48" s="12"/>
      <c r="I48" s="12"/>
      <c r="J48" s="12"/>
    </row>
    <row r="49" spans="1:10" outlineLevel="1" x14ac:dyDescent="0.2">
      <c r="B49" s="45" t="s">
        <v>165</v>
      </c>
      <c r="C49" s="12" t="s">
        <v>58</v>
      </c>
      <c r="D49" s="212">
        <v>0.22</v>
      </c>
      <c r="E49" s="28"/>
      <c r="F49" s="28"/>
      <c r="G49" s="28"/>
      <c r="H49" s="28"/>
      <c r="I49" s="28"/>
      <c r="J49" s="11"/>
    </row>
    <row r="50" spans="1:10" outlineLevel="1" x14ac:dyDescent="0.2">
      <c r="B50" s="45" t="s">
        <v>177</v>
      </c>
      <c r="C50" s="12" t="s">
        <v>8</v>
      </c>
      <c r="D50" s="12"/>
      <c r="E50" s="28"/>
      <c r="F50" s="28"/>
      <c r="G50" s="214">
        <v>0</v>
      </c>
      <c r="H50" s="214">
        <v>0</v>
      </c>
      <c r="I50" s="214">
        <v>0</v>
      </c>
      <c r="J50" s="11"/>
    </row>
    <row r="51" spans="1:10" x14ac:dyDescent="0.2">
      <c r="B51" s="46"/>
    </row>
    <row r="52" spans="1:10" s="7" customFormat="1" x14ac:dyDescent="0.2">
      <c r="A52" s="10" t="s">
        <v>127</v>
      </c>
      <c r="B52" s="44" t="s">
        <v>141</v>
      </c>
    </row>
    <row r="53" spans="1:10" outlineLevel="1" x14ac:dyDescent="0.2">
      <c r="B53" s="46"/>
      <c r="J53" s="164"/>
    </row>
    <row r="54" spans="1:10" outlineLevel="1" x14ac:dyDescent="0.2">
      <c r="B54" s="45" t="s">
        <v>68</v>
      </c>
      <c r="C54" s="42" t="s">
        <v>58</v>
      </c>
      <c r="D54" s="213">
        <v>0.105</v>
      </c>
      <c r="E54" s="28"/>
      <c r="F54" s="28"/>
      <c r="G54" s="28"/>
      <c r="H54" s="28"/>
      <c r="I54" s="28"/>
      <c r="J54" s="218" t="s">
        <v>264</v>
      </c>
    </row>
    <row r="55" spans="1:10" outlineLevel="1" x14ac:dyDescent="0.2">
      <c r="B55" s="45" t="s">
        <v>69</v>
      </c>
      <c r="C55" s="42" t="s">
        <v>58</v>
      </c>
      <c r="D55" s="213">
        <v>0.04</v>
      </c>
      <c r="E55" s="28"/>
      <c r="F55" s="28"/>
      <c r="G55" s="28"/>
      <c r="H55" s="28"/>
      <c r="I55" s="28"/>
      <c r="J55" s="218" t="s">
        <v>231</v>
      </c>
    </row>
    <row r="56" spans="1:10" outlineLevel="1" x14ac:dyDescent="0.2">
      <c r="B56" s="45" t="s">
        <v>70</v>
      </c>
      <c r="C56" s="42" t="s">
        <v>71</v>
      </c>
      <c r="D56" s="215">
        <v>2.5</v>
      </c>
      <c r="E56" s="28"/>
      <c r="F56" s="28"/>
      <c r="G56" s="28"/>
      <c r="H56" s="28"/>
      <c r="I56" s="28"/>
      <c r="J56" s="218" t="s">
        <v>72</v>
      </c>
    </row>
    <row r="57" spans="1:10" outlineLevel="1" x14ac:dyDescent="0.2">
      <c r="B57" s="45" t="s">
        <v>73</v>
      </c>
      <c r="C57" s="42" t="s">
        <v>71</v>
      </c>
      <c r="D57" s="215">
        <v>20</v>
      </c>
      <c r="E57" s="28"/>
      <c r="F57" s="28"/>
      <c r="G57" s="28"/>
      <c r="H57" s="28"/>
      <c r="I57" s="28"/>
      <c r="J57" s="218" t="s">
        <v>74</v>
      </c>
    </row>
    <row r="58" spans="1:10" outlineLevel="1" x14ac:dyDescent="0.2">
      <c r="B58" s="45" t="s">
        <v>252</v>
      </c>
      <c r="C58" s="42" t="s">
        <v>48</v>
      </c>
      <c r="D58" s="29">
        <f>i_Historical!F49</f>
        <v>31223</v>
      </c>
      <c r="E58" s="28"/>
      <c r="F58" s="28"/>
      <c r="G58" s="28"/>
      <c r="H58" s="28"/>
      <c r="I58" s="28"/>
      <c r="J58" s="218" t="s">
        <v>75</v>
      </c>
    </row>
    <row r="59" spans="1:10" outlineLevel="1" x14ac:dyDescent="0.2">
      <c r="B59" s="45" t="s">
        <v>76</v>
      </c>
      <c r="C59" s="42" t="s">
        <v>58</v>
      </c>
      <c r="D59" s="213">
        <v>7.0000000000000007E-2</v>
      </c>
      <c r="E59" s="28"/>
      <c r="F59" s="28"/>
      <c r="G59" s="28"/>
      <c r="H59" s="28"/>
      <c r="I59" s="28"/>
      <c r="J59" s="218" t="s">
        <v>77</v>
      </c>
    </row>
    <row r="60" spans="1:10" outlineLevel="1" x14ac:dyDescent="0.2">
      <c r="B60" s="45" t="s">
        <v>78</v>
      </c>
      <c r="C60" s="42" t="s">
        <v>8</v>
      </c>
      <c r="D60" s="216">
        <v>500000</v>
      </c>
      <c r="E60" s="28"/>
      <c r="F60" s="28"/>
      <c r="G60" s="28"/>
      <c r="H60" s="28"/>
      <c r="I60" s="28"/>
      <c r="J60" s="218" t="s">
        <v>79</v>
      </c>
    </row>
    <row r="61" spans="1:10" outlineLevel="1" x14ac:dyDescent="0.2">
      <c r="B61" s="5" t="s">
        <v>259</v>
      </c>
      <c r="C61" s="42" t="s">
        <v>58</v>
      </c>
      <c r="D61" s="213">
        <v>0.5</v>
      </c>
      <c r="E61" s="28"/>
      <c r="F61" s="28"/>
      <c r="G61" s="28"/>
      <c r="H61" s="28"/>
      <c r="I61" s="28"/>
      <c r="J61" s="218" t="s">
        <v>260</v>
      </c>
    </row>
    <row r="62" spans="1:10" outlineLevel="1" x14ac:dyDescent="0.2">
      <c r="B62" s="5" t="s">
        <v>265</v>
      </c>
      <c r="C62" s="42" t="s">
        <v>234</v>
      </c>
      <c r="D62" s="217">
        <v>0.5</v>
      </c>
      <c r="E62" s="28"/>
      <c r="F62" s="28"/>
      <c r="G62" s="28"/>
      <c r="H62" s="28"/>
      <c r="I62" s="28"/>
      <c r="J62" s="218" t="s">
        <v>266</v>
      </c>
    </row>
    <row r="63" spans="1:10" outlineLevel="1" x14ac:dyDescent="0.2">
      <c r="B63" s="5" t="s">
        <v>277</v>
      </c>
      <c r="C63" s="42" t="s">
        <v>58</v>
      </c>
      <c r="D63" s="213">
        <v>0.05</v>
      </c>
      <c r="E63" s="28"/>
      <c r="F63" s="28"/>
      <c r="G63" s="28"/>
      <c r="H63" s="28"/>
      <c r="I63" s="28"/>
      <c r="J63" s="218" t="s">
        <v>278</v>
      </c>
    </row>
    <row r="65" spans="1:2" s="7" customFormat="1" x14ac:dyDescent="0.2">
      <c r="A65" s="10" t="s">
        <v>127</v>
      </c>
      <c r="B65" s="44" t="s">
        <v>129</v>
      </c>
    </row>
  </sheetData>
  <sheetProtection formatColumns="0" formatRows="0" sort="0" autoFilter="0"/>
  <dataValidations count="2">
    <dataValidation type="decimal" allowBlank="1" showInputMessage="1" showErrorMessage="1" errorTitle="Invalid input" error="Enter a percentage between -100% and 100%." promptTitle="Assumption" prompt="Editable input (percentage)." sqref="G8 H8 I8 G9 H9 I9 G10 H10 I10 G14 H14 I14 G16 H16 I16 G17 H17 I17 G18 H18 I18 G19 H19 I19 G20 H20 I20 D29 D35 D39 D46 D49 D54 D55 D59 D61 D63" xr:uid="{C66B3575-E215-F140-83A7-553D0605393D}">
      <formula1>-1</formula1>
      <formula2>1</formula2>
    </dataValidation>
    <dataValidation type="decimal" allowBlank="1" showInputMessage="1" showErrorMessage="1" errorTitle="Invalid input" error="Enter a numeric value." promptTitle="Assumption" prompt="Editable input (number)." sqref="G24 H24 I24 G25 H25 I25 D26 G28 H28 I28 D30 G36 D37 D40 D42 D47 G50 H50 I50 D56 D57 D60 D62:D63" xr:uid="{DE2D9CA4-BF5C-AC40-B123-6B481F9687B8}">
      <formula1>-1000000000000</formula1>
      <formula2>1000000000000</formula2>
    </dataValidation>
  </dataValidations>
  <pageMargins left="0.75" right="0.75" top="1" bottom="1" header="0.5" footer="0.5"/>
  <pageSetup paperSize="9"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M57"/>
  <sheetViews>
    <sheetView showGridLines="0" zoomScaleNormal="100" workbookViewId="0">
      <pane xSplit="4" ySplit="7" topLeftCell="E8" activePane="bottomRight" state="frozen"/>
      <selection pane="topRight" activeCell="E1" sqref="E1"/>
      <selection pane="bottomLeft" activeCell="A7" sqref="A7"/>
      <selection pane="bottomRight"/>
    </sheetView>
  </sheetViews>
  <sheetFormatPr baseColWidth="10" defaultColWidth="8.83203125" defaultRowHeight="16" outlineLevelRow="1" outlineLevelCol="1" x14ac:dyDescent="0.2"/>
  <cols>
    <col min="1" max="1" width="5" customWidth="1"/>
    <col min="2" max="2" width="75.5" style="59" customWidth="1"/>
    <col min="3" max="3" width="12" customWidth="1"/>
    <col min="4" max="4" width="5.83203125" customWidth="1"/>
    <col min="5" max="6" width="15.1640625" customWidth="1"/>
    <col min="7" max="9" width="15.1640625" hidden="1" customWidth="1" outlineLevel="1"/>
    <col min="10" max="10" width="3.1640625" customWidth="1" collapsed="1"/>
    <col min="11" max="13" width="15.1640625" customWidth="1"/>
  </cols>
  <sheetData>
    <row r="1" spans="1:13" ht="29" x14ac:dyDescent="0.35">
      <c r="A1" s="9" t="str">
        <f>Contents!$A1</f>
        <v>Bolt Technology OÜ - Draft Valuation Model</v>
      </c>
    </row>
    <row r="2" spans="1:13" x14ac:dyDescent="0.2">
      <c r="A2" s="69" t="str">
        <f>Contents!$A2</f>
        <v>Source: Bolt Technology OÜ Consolidated Annual Report 2025 (AS PricewaterhouseCoopers audit)</v>
      </c>
    </row>
    <row r="4" spans="1:13" s="60" customFormat="1" x14ac:dyDescent="0.2">
      <c r="C4" s="60" t="s">
        <v>1</v>
      </c>
      <c r="E4" s="60" t="s">
        <v>2</v>
      </c>
      <c r="F4" s="60" t="s">
        <v>3</v>
      </c>
      <c r="G4" s="68" t="s">
        <v>80</v>
      </c>
      <c r="H4" s="68" t="s">
        <v>81</v>
      </c>
      <c r="I4" s="68" t="s">
        <v>82</v>
      </c>
      <c r="J4" s="68"/>
      <c r="K4" s="60" t="s">
        <v>4</v>
      </c>
      <c r="L4" s="60" t="s">
        <v>5</v>
      </c>
      <c r="M4" s="60" t="s">
        <v>0</v>
      </c>
    </row>
    <row r="5" spans="1:13" s="60" customFormat="1" x14ac:dyDescent="0.2">
      <c r="E5" s="60" t="str">
        <f>IF(RIGHT(E4)="A","Actual","Estimate")</f>
        <v>Actual</v>
      </c>
      <c r="F5" s="60" t="str">
        <f t="shared" ref="F5:I5" si="0">IF(RIGHT(F4)="A","Actual","Estimate")</f>
        <v>Actual</v>
      </c>
      <c r="G5" s="60" t="str">
        <f t="shared" si="0"/>
        <v>Estimate</v>
      </c>
      <c r="H5" s="60" t="str">
        <f t="shared" si="0"/>
        <v>Estimate</v>
      </c>
      <c r="I5" s="60" t="str">
        <f t="shared" si="0"/>
        <v>Estimate</v>
      </c>
      <c r="J5" s="68"/>
    </row>
    <row r="6" spans="1:13" s="7" customFormat="1" ht="15" x14ac:dyDescent="0.2">
      <c r="A6" s="10" t="s">
        <v>127</v>
      </c>
      <c r="B6" s="75" t="s">
        <v>147</v>
      </c>
    </row>
    <row r="8" spans="1:13" s="24" customFormat="1" x14ac:dyDescent="0.2">
      <c r="A8" s="24" t="s">
        <v>139</v>
      </c>
      <c r="B8" s="62" t="s">
        <v>138</v>
      </c>
      <c r="C8" s="25"/>
      <c r="D8" s="25"/>
      <c r="E8" s="25"/>
      <c r="F8" s="25"/>
      <c r="G8" s="25"/>
      <c r="H8" s="25"/>
      <c r="I8" s="25"/>
      <c r="J8" s="25"/>
      <c r="K8" s="25"/>
      <c r="L8" s="25"/>
      <c r="M8" s="25"/>
    </row>
    <row r="9" spans="1:13" outlineLevel="1" x14ac:dyDescent="0.2">
      <c r="B9" s="98"/>
    </row>
    <row r="10" spans="1:13" outlineLevel="1" x14ac:dyDescent="0.2">
      <c r="B10" s="63" t="s">
        <v>6</v>
      </c>
      <c r="C10" s="12" t="s">
        <v>8</v>
      </c>
      <c r="D10" s="12"/>
      <c r="E10" s="30">
        <v>1633907</v>
      </c>
      <c r="F10" s="30">
        <v>1847432</v>
      </c>
      <c r="G10" s="30"/>
      <c r="H10" s="30"/>
      <c r="I10" s="30"/>
      <c r="J10" s="100"/>
      <c r="K10" s="13">
        <f t="shared" ref="K10:K26" si="1">F10-E10</f>
        <v>213525</v>
      </c>
      <c r="L10" s="14">
        <f>IF(E10=0,"N/a",K10/ABS(E10))</f>
        <v>0.13068369252350348</v>
      </c>
      <c r="M10" s="12" t="s">
        <v>7</v>
      </c>
    </row>
    <row r="11" spans="1:13" outlineLevel="1" x14ac:dyDescent="0.2">
      <c r="B11" s="63" t="s">
        <v>9</v>
      </c>
      <c r="C11" s="12" t="s">
        <v>8</v>
      </c>
      <c r="D11" s="12"/>
      <c r="E11" s="30">
        <v>185469</v>
      </c>
      <c r="F11" s="30">
        <v>240737</v>
      </c>
      <c r="G11" s="30"/>
      <c r="H11" s="30"/>
      <c r="I11" s="30"/>
      <c r="J11" s="100"/>
      <c r="K11" s="13">
        <f t="shared" si="1"/>
        <v>55268</v>
      </c>
      <c r="L11" s="14">
        <f t="shared" ref="L11:L26" si="2">IF(E11=0,"N/a",K11/ABS(E11))</f>
        <v>0.2979904997600677</v>
      </c>
      <c r="M11" s="12" t="s">
        <v>7</v>
      </c>
    </row>
    <row r="12" spans="1:13" outlineLevel="1" x14ac:dyDescent="0.2">
      <c r="B12" s="63" t="s">
        <v>10</v>
      </c>
      <c r="C12" s="12" t="s">
        <v>8</v>
      </c>
      <c r="D12" s="12"/>
      <c r="E12" s="30">
        <v>172678</v>
      </c>
      <c r="F12" s="30">
        <v>182685</v>
      </c>
      <c r="G12" s="30"/>
      <c r="H12" s="30"/>
      <c r="I12" s="30"/>
      <c r="J12" s="100"/>
      <c r="K12" s="13">
        <f t="shared" si="1"/>
        <v>10007</v>
      </c>
      <c r="L12" s="14">
        <f t="shared" si="2"/>
        <v>5.7951794669847928E-2</v>
      </c>
      <c r="M12" s="12" t="s">
        <v>7</v>
      </c>
    </row>
    <row r="13" spans="1:13" outlineLevel="1" x14ac:dyDescent="0.2">
      <c r="B13" s="64" t="s">
        <v>11</v>
      </c>
      <c r="C13" s="18" t="s">
        <v>8</v>
      </c>
      <c r="D13" s="18"/>
      <c r="E13" s="33">
        <v>1992054</v>
      </c>
      <c r="F13" s="33">
        <v>2270854</v>
      </c>
      <c r="G13" s="33"/>
      <c r="H13" s="33"/>
      <c r="I13" s="33"/>
      <c r="J13" s="100"/>
      <c r="K13" s="19">
        <f t="shared" si="1"/>
        <v>278800</v>
      </c>
      <c r="L13" s="20">
        <f t="shared" si="2"/>
        <v>0.13995604536824804</v>
      </c>
      <c r="M13" s="18" t="s">
        <v>7</v>
      </c>
    </row>
    <row r="14" spans="1:13" outlineLevel="1" x14ac:dyDescent="0.2">
      <c r="B14" s="63" t="s">
        <v>146</v>
      </c>
      <c r="C14" s="12" t="s">
        <v>8</v>
      </c>
      <c r="D14" s="12"/>
      <c r="E14" s="30">
        <v>-864477</v>
      </c>
      <c r="F14" s="30">
        <v>-831240</v>
      </c>
      <c r="G14" s="30"/>
      <c r="H14" s="30"/>
      <c r="I14" s="30"/>
      <c r="J14" s="100"/>
      <c r="K14" s="13">
        <f t="shared" si="1"/>
        <v>33237</v>
      </c>
      <c r="L14" s="14">
        <f t="shared" si="2"/>
        <v>3.8447523762922556E-2</v>
      </c>
      <c r="M14" s="12" t="s">
        <v>12</v>
      </c>
    </row>
    <row r="15" spans="1:13" outlineLevel="1" x14ac:dyDescent="0.2">
      <c r="B15" s="65" t="s">
        <v>13</v>
      </c>
      <c r="C15" s="39" t="s">
        <v>8</v>
      </c>
      <c r="D15" s="39"/>
      <c r="E15" s="33">
        <v>1127577</v>
      </c>
      <c r="F15" s="33">
        <v>1439614</v>
      </c>
      <c r="G15" s="33"/>
      <c r="H15" s="33"/>
      <c r="I15" s="33"/>
      <c r="J15" s="100"/>
      <c r="K15" s="40">
        <f t="shared" si="1"/>
        <v>312037</v>
      </c>
      <c r="L15" s="41">
        <f t="shared" si="2"/>
        <v>0.27673232071956061</v>
      </c>
      <c r="M15" s="39" t="s">
        <v>14</v>
      </c>
    </row>
    <row r="16" spans="1:13" outlineLevel="1" x14ac:dyDescent="0.2">
      <c r="B16" s="63" t="s">
        <v>19</v>
      </c>
      <c r="C16" s="12" t="s">
        <v>8</v>
      </c>
      <c r="D16" s="12"/>
      <c r="E16" s="30">
        <v>-795513</v>
      </c>
      <c r="F16" s="30">
        <v>-1048370</v>
      </c>
      <c r="G16" s="30"/>
      <c r="H16" s="30"/>
      <c r="I16" s="30"/>
      <c r="J16" s="100"/>
      <c r="K16" s="13">
        <f>F16-E16</f>
        <v>-252857</v>
      </c>
      <c r="L16" s="14">
        <f>IF(E16=0,"N/a",K16/ABS(E16))</f>
        <v>-0.31785401369933614</v>
      </c>
      <c r="M16" s="12" t="s">
        <v>20</v>
      </c>
    </row>
    <row r="17" spans="1:13" outlineLevel="1" x14ac:dyDescent="0.2">
      <c r="B17" s="63" t="s">
        <v>17</v>
      </c>
      <c r="C17" s="12" t="s">
        <v>8</v>
      </c>
      <c r="D17" s="12"/>
      <c r="E17" s="30">
        <v>-107877</v>
      </c>
      <c r="F17" s="30">
        <v>-127580</v>
      </c>
      <c r="G17" s="30"/>
      <c r="H17" s="30"/>
      <c r="I17" s="30"/>
      <c r="J17" s="100"/>
      <c r="K17" s="13">
        <f t="shared" si="1"/>
        <v>-19703</v>
      </c>
      <c r="L17" s="14">
        <f t="shared" si="2"/>
        <v>-0.18264319549116123</v>
      </c>
      <c r="M17" s="12" t="s">
        <v>18</v>
      </c>
    </row>
    <row r="18" spans="1:13" outlineLevel="1" x14ac:dyDescent="0.2">
      <c r="B18" s="63" t="s">
        <v>21</v>
      </c>
      <c r="C18" s="12" t="s">
        <v>8</v>
      </c>
      <c r="D18" s="12"/>
      <c r="E18" s="30">
        <v>-319933</v>
      </c>
      <c r="F18" s="30">
        <v>-253032</v>
      </c>
      <c r="G18" s="30"/>
      <c r="H18" s="30"/>
      <c r="I18" s="30"/>
      <c r="J18" s="100"/>
      <c r="K18" s="13">
        <f t="shared" si="1"/>
        <v>66901</v>
      </c>
      <c r="L18" s="14">
        <f t="shared" si="2"/>
        <v>0.20910940728214969</v>
      </c>
      <c r="M18" s="12" t="s">
        <v>22</v>
      </c>
    </row>
    <row r="19" spans="1:13" outlineLevel="1" x14ac:dyDescent="0.2">
      <c r="B19" s="63" t="s">
        <v>23</v>
      </c>
      <c r="C19" s="12" t="s">
        <v>8</v>
      </c>
      <c r="D19" s="78"/>
      <c r="E19" s="30">
        <v>-8913</v>
      </c>
      <c r="F19" s="30">
        <v>-13131</v>
      </c>
      <c r="G19" s="30"/>
      <c r="H19" s="30"/>
      <c r="I19" s="30"/>
      <c r="J19" s="100"/>
      <c r="K19" s="13">
        <f t="shared" si="1"/>
        <v>-4218</v>
      </c>
      <c r="L19" s="14">
        <f t="shared" si="2"/>
        <v>-0.47324133288455067</v>
      </c>
      <c r="M19" s="12" t="s">
        <v>24</v>
      </c>
    </row>
    <row r="20" spans="1:13" outlineLevel="1" x14ac:dyDescent="0.2">
      <c r="B20" s="63" t="s">
        <v>15</v>
      </c>
      <c r="C20" s="12" t="s">
        <v>8</v>
      </c>
      <c r="D20" s="78"/>
      <c r="E20" s="30">
        <v>16924</v>
      </c>
      <c r="F20" s="30">
        <v>21953</v>
      </c>
      <c r="G20" s="30"/>
      <c r="H20" s="30"/>
      <c r="I20" s="30"/>
      <c r="J20" s="100"/>
      <c r="K20" s="13">
        <f>F20-E20</f>
        <v>5029</v>
      </c>
      <c r="L20" s="14">
        <f>IF(E20=0,"N/a",K20/ABS(E20))</f>
        <v>0.29715197352871664</v>
      </c>
      <c r="M20" s="12" t="s">
        <v>16</v>
      </c>
    </row>
    <row r="21" spans="1:13" outlineLevel="1" x14ac:dyDescent="0.2">
      <c r="B21" s="64" t="s">
        <v>25</v>
      </c>
      <c r="C21" s="18" t="s">
        <v>8</v>
      </c>
      <c r="D21" s="18"/>
      <c r="E21" s="32">
        <v>-87735</v>
      </c>
      <c r="F21" s="32">
        <v>19454</v>
      </c>
      <c r="G21" s="33"/>
      <c r="H21" s="33"/>
      <c r="I21" s="33"/>
      <c r="J21" s="100"/>
      <c r="K21" s="19">
        <f t="shared" si="1"/>
        <v>107189</v>
      </c>
      <c r="L21" s="20">
        <f t="shared" si="2"/>
        <v>1.2217359092722402</v>
      </c>
      <c r="M21" s="18" t="s">
        <v>14</v>
      </c>
    </row>
    <row r="22" spans="1:13" outlineLevel="1" x14ac:dyDescent="0.2">
      <c r="B22" s="63" t="s">
        <v>26</v>
      </c>
      <c r="C22" s="12" t="s">
        <v>8</v>
      </c>
      <c r="D22" s="12"/>
      <c r="E22" s="31">
        <v>1686</v>
      </c>
      <c r="F22" s="31">
        <v>-1291</v>
      </c>
      <c r="G22" s="30"/>
      <c r="H22" s="30"/>
      <c r="I22" s="30"/>
      <c r="J22" s="100"/>
      <c r="K22" s="13">
        <f t="shared" si="1"/>
        <v>-2977</v>
      </c>
      <c r="L22" s="14">
        <f t="shared" si="2"/>
        <v>-1.765717674970344</v>
      </c>
      <c r="M22" s="12" t="s">
        <v>27</v>
      </c>
    </row>
    <row r="23" spans="1:13" outlineLevel="1" x14ac:dyDescent="0.2">
      <c r="B23" s="63" t="s">
        <v>28</v>
      </c>
      <c r="C23" s="12" t="s">
        <v>8</v>
      </c>
      <c r="D23" s="12"/>
      <c r="E23" s="31">
        <v>-1951</v>
      </c>
      <c r="F23" s="31">
        <v>-3882</v>
      </c>
      <c r="G23" s="30"/>
      <c r="H23" s="30"/>
      <c r="I23" s="30"/>
      <c r="J23" s="100"/>
      <c r="K23" s="13">
        <f t="shared" si="1"/>
        <v>-1931</v>
      </c>
      <c r="L23" s="14">
        <f t="shared" si="2"/>
        <v>-0.98974884674525887</v>
      </c>
      <c r="M23" s="12" t="s">
        <v>29</v>
      </c>
    </row>
    <row r="24" spans="1:13" s="70" customFormat="1" outlineLevel="1" x14ac:dyDescent="0.2">
      <c r="B24" s="65" t="s">
        <v>30</v>
      </c>
      <c r="C24" s="39" t="s">
        <v>8</v>
      </c>
      <c r="D24" s="39"/>
      <c r="E24" s="32">
        <v>-88000</v>
      </c>
      <c r="F24" s="32">
        <v>14281</v>
      </c>
      <c r="G24" s="33"/>
      <c r="H24" s="33"/>
      <c r="I24" s="33"/>
      <c r="J24" s="100"/>
      <c r="K24" s="40">
        <f t="shared" si="1"/>
        <v>102281</v>
      </c>
      <c r="L24" s="41">
        <f t="shared" si="2"/>
        <v>1.162284090909091</v>
      </c>
      <c r="M24" s="39" t="s">
        <v>14</v>
      </c>
    </row>
    <row r="25" spans="1:13" outlineLevel="1" x14ac:dyDescent="0.2">
      <c r="B25" s="63" t="s">
        <v>31</v>
      </c>
      <c r="C25" s="12" t="s">
        <v>8</v>
      </c>
      <c r="D25" s="12"/>
      <c r="E25" s="31">
        <v>-14594</v>
      </c>
      <c r="F25" s="31">
        <v>-13361</v>
      </c>
      <c r="G25" s="30"/>
      <c r="H25" s="30"/>
      <c r="I25" s="30"/>
      <c r="J25" s="100"/>
      <c r="K25" s="13">
        <f t="shared" si="1"/>
        <v>1233</v>
      </c>
      <c r="L25" s="14">
        <f t="shared" si="2"/>
        <v>8.4486775387145399E-2</v>
      </c>
      <c r="M25" s="12" t="s">
        <v>32</v>
      </c>
    </row>
    <row r="26" spans="1:13" ht="17" outlineLevel="1" thickBot="1" x14ac:dyDescent="0.25">
      <c r="B26" s="66" t="s">
        <v>33</v>
      </c>
      <c r="C26" s="15" t="s">
        <v>8</v>
      </c>
      <c r="D26" s="15"/>
      <c r="E26" s="34">
        <v>-102594</v>
      </c>
      <c r="F26" s="34">
        <v>920</v>
      </c>
      <c r="G26" s="35"/>
      <c r="H26" s="35"/>
      <c r="I26" s="35"/>
      <c r="J26" s="100"/>
      <c r="K26" s="16">
        <f t="shared" si="1"/>
        <v>103514</v>
      </c>
      <c r="L26" s="17">
        <f t="shared" si="2"/>
        <v>1.008967386006979</v>
      </c>
      <c r="M26" s="15" t="s">
        <v>14</v>
      </c>
    </row>
    <row r="27" spans="1:13" ht="17" thickTop="1" x14ac:dyDescent="0.2">
      <c r="F27" s="74"/>
      <c r="G27" s="74"/>
      <c r="H27" s="74"/>
      <c r="I27" s="74"/>
      <c r="J27" s="101"/>
    </row>
    <row r="28" spans="1:13" s="24" customFormat="1" x14ac:dyDescent="0.2">
      <c r="A28" s="24" t="s">
        <v>139</v>
      </c>
      <c r="B28" s="67" t="s">
        <v>34</v>
      </c>
      <c r="K28" s="26"/>
    </row>
    <row r="29" spans="1:13" outlineLevel="1" x14ac:dyDescent="0.2">
      <c r="B29" s="98"/>
    </row>
    <row r="30" spans="1:13" outlineLevel="1" x14ac:dyDescent="0.2">
      <c r="B30" s="63" t="s">
        <v>35</v>
      </c>
      <c r="C30" s="12" t="s">
        <v>8</v>
      </c>
      <c r="D30" s="12"/>
      <c r="E30" s="31">
        <v>342247</v>
      </c>
      <c r="F30" s="31">
        <v>357038</v>
      </c>
      <c r="G30" s="30"/>
      <c r="H30" s="30"/>
      <c r="I30" s="30"/>
      <c r="J30" s="100"/>
      <c r="K30" s="13">
        <f t="shared" ref="K30:K49" si="3">F30-E30</f>
        <v>14791</v>
      </c>
      <c r="L30" s="14">
        <f t="shared" ref="L30:L44" si="4">IF(E30=0,"N/a",K30/ABS(E30))</f>
        <v>4.3217325498835633E-2</v>
      </c>
      <c r="M30" s="12" t="s">
        <v>36</v>
      </c>
    </row>
    <row r="31" spans="1:13" outlineLevel="1" x14ac:dyDescent="0.2">
      <c r="B31" s="63" t="s">
        <v>149</v>
      </c>
      <c r="C31" s="12" t="s">
        <v>8</v>
      </c>
      <c r="D31" s="12"/>
      <c r="E31" s="31">
        <v>100732</v>
      </c>
      <c r="F31" s="31">
        <v>127467</v>
      </c>
      <c r="G31" s="30"/>
      <c r="H31" s="30"/>
      <c r="I31" s="30"/>
      <c r="J31" s="100"/>
      <c r="K31" s="13">
        <f t="shared" ref="K31" si="5">F31-E31</f>
        <v>26735</v>
      </c>
      <c r="L31" s="14">
        <f t="shared" si="4"/>
        <v>0.26540721915577969</v>
      </c>
      <c r="M31" s="12" t="s">
        <v>148</v>
      </c>
    </row>
    <row r="32" spans="1:13" outlineLevel="1" x14ac:dyDescent="0.2">
      <c r="B32" s="63" t="s">
        <v>156</v>
      </c>
      <c r="C32" s="12" t="s">
        <v>8</v>
      </c>
      <c r="D32" s="12"/>
      <c r="E32" s="13">
        <f>E33-SUM(E30:E31)</f>
        <v>14105</v>
      </c>
      <c r="F32" s="13">
        <f>F33-SUM(F30:F31)</f>
        <v>16675</v>
      </c>
      <c r="G32" s="13">
        <f>G33-SUM(G30:G31)</f>
        <v>0</v>
      </c>
      <c r="H32" s="13">
        <f>H33-SUM(H30:H31)</f>
        <v>0</v>
      </c>
      <c r="I32" s="13">
        <f>I33-SUM(I30:I31)</f>
        <v>0</v>
      </c>
      <c r="J32" s="72"/>
      <c r="K32" s="13">
        <f t="shared" ref="K32" si="6">F32-E32</f>
        <v>2570</v>
      </c>
      <c r="L32" s="14">
        <f t="shared" si="4"/>
        <v>0.18220489188231123</v>
      </c>
      <c r="M32" s="12"/>
    </row>
    <row r="33" spans="1:13" outlineLevel="1" x14ac:dyDescent="0.2">
      <c r="B33" s="64" t="s">
        <v>37</v>
      </c>
      <c r="C33" s="18" t="s">
        <v>8</v>
      </c>
      <c r="D33" s="18"/>
      <c r="E33" s="32">
        <v>457084</v>
      </c>
      <c r="F33" s="32">
        <v>501180</v>
      </c>
      <c r="G33" s="33"/>
      <c r="H33" s="33"/>
      <c r="I33" s="33"/>
      <c r="J33" s="100"/>
      <c r="K33" s="19">
        <f t="shared" si="3"/>
        <v>44096</v>
      </c>
      <c r="L33" s="20">
        <f t="shared" si="4"/>
        <v>9.6472420824181115E-2</v>
      </c>
      <c r="M33" s="18" t="s">
        <v>38</v>
      </c>
    </row>
    <row r="34" spans="1:13" outlineLevel="1" x14ac:dyDescent="0.2">
      <c r="B34" s="63" t="s">
        <v>208</v>
      </c>
      <c r="C34" s="12" t="s">
        <v>8</v>
      </c>
      <c r="D34" s="12"/>
      <c r="E34" s="91">
        <v>189638</v>
      </c>
      <c r="F34" s="91">
        <v>180405</v>
      </c>
      <c r="G34" s="30"/>
      <c r="H34" s="30"/>
      <c r="I34" s="30"/>
      <c r="J34" s="100"/>
      <c r="K34" s="13">
        <f t="shared" si="3"/>
        <v>-9233</v>
      </c>
      <c r="L34" s="14">
        <f t="shared" si="4"/>
        <v>-4.8687499340849406E-2</v>
      </c>
      <c r="M34" s="12" t="s">
        <v>205</v>
      </c>
    </row>
    <row r="35" spans="1:13" outlineLevel="1" x14ac:dyDescent="0.2">
      <c r="B35" s="63" t="s">
        <v>206</v>
      </c>
      <c r="C35" s="12" t="s">
        <v>8</v>
      </c>
      <c r="D35" s="12"/>
      <c r="E35" s="13">
        <f>E36-E34</f>
        <v>134298</v>
      </c>
      <c r="F35" s="13">
        <f>F36-F34</f>
        <v>150910</v>
      </c>
      <c r="G35" s="13">
        <f t="shared" ref="G35:I35" si="7">G36-G34</f>
        <v>0</v>
      </c>
      <c r="H35" s="13">
        <f t="shared" si="7"/>
        <v>0</v>
      </c>
      <c r="I35" s="13">
        <f t="shared" si="7"/>
        <v>0</v>
      </c>
      <c r="J35" s="72"/>
      <c r="K35" s="13">
        <f t="shared" si="3"/>
        <v>16612</v>
      </c>
      <c r="L35" s="14">
        <f t="shared" si="4"/>
        <v>0.12369506619607143</v>
      </c>
      <c r="M35" s="12"/>
    </row>
    <row r="36" spans="1:13" outlineLevel="1" x14ac:dyDescent="0.2">
      <c r="B36" s="94" t="s">
        <v>207</v>
      </c>
      <c r="C36" s="95" t="s">
        <v>8</v>
      </c>
      <c r="D36" s="95"/>
      <c r="E36" s="36">
        <v>323936</v>
      </c>
      <c r="F36" s="36">
        <v>331315</v>
      </c>
      <c r="G36" s="33"/>
      <c r="H36" s="33"/>
      <c r="I36" s="33"/>
      <c r="J36" s="100"/>
      <c r="K36" s="96">
        <f>F36-E36</f>
        <v>7379</v>
      </c>
      <c r="L36" s="97">
        <f t="shared" si="4"/>
        <v>2.2779190951299023E-2</v>
      </c>
      <c r="M36" s="95" t="s">
        <v>38</v>
      </c>
    </row>
    <row r="37" spans="1:13" ht="17" outlineLevel="1" thickBot="1" x14ac:dyDescent="0.25">
      <c r="B37" s="92" t="s">
        <v>39</v>
      </c>
      <c r="C37" s="81" t="s">
        <v>8</v>
      </c>
      <c r="D37" s="81"/>
      <c r="E37" s="34">
        <v>781020</v>
      </c>
      <c r="F37" s="34">
        <v>832495</v>
      </c>
      <c r="G37" s="104"/>
      <c r="H37" s="104"/>
      <c r="I37" s="104"/>
      <c r="J37" s="100"/>
      <c r="K37" s="52">
        <f t="shared" si="3"/>
        <v>51475</v>
      </c>
      <c r="L37" s="93">
        <f t="shared" si="4"/>
        <v>6.5907403139484261E-2</v>
      </c>
      <c r="M37" s="81" t="s">
        <v>38</v>
      </c>
    </row>
    <row r="38" spans="1:13" ht="17" outlineLevel="1" thickTop="1" x14ac:dyDescent="0.2">
      <c r="B38" s="63" t="s">
        <v>97</v>
      </c>
      <c r="C38" s="12" t="s">
        <v>8</v>
      </c>
      <c r="D38" s="12"/>
      <c r="E38" s="30">
        <v>136657</v>
      </c>
      <c r="F38" s="30">
        <v>188970</v>
      </c>
      <c r="G38" s="30"/>
      <c r="H38" s="30"/>
      <c r="I38" s="30"/>
      <c r="J38" s="100"/>
      <c r="K38" s="13">
        <f t="shared" ref="K38" si="8">F38-E38</f>
        <v>52313</v>
      </c>
      <c r="L38" s="14">
        <f t="shared" si="4"/>
        <v>0.38280512524056581</v>
      </c>
      <c r="M38" s="12" t="s">
        <v>150</v>
      </c>
    </row>
    <row r="39" spans="1:13" outlineLevel="1" x14ac:dyDescent="0.2">
      <c r="B39" s="63" t="s">
        <v>40</v>
      </c>
      <c r="C39" s="12" t="s">
        <v>8</v>
      </c>
      <c r="D39" s="12"/>
      <c r="E39" s="30">
        <v>138498</v>
      </c>
      <c r="F39" s="30">
        <v>527</v>
      </c>
      <c r="G39" s="30"/>
      <c r="H39" s="30"/>
      <c r="I39" s="30"/>
      <c r="J39" s="100"/>
      <c r="K39" s="13">
        <f t="shared" si="3"/>
        <v>-137971</v>
      </c>
      <c r="L39" s="14">
        <f t="shared" si="4"/>
        <v>-0.99619489090095159</v>
      </c>
      <c r="M39" s="12" t="s">
        <v>41</v>
      </c>
    </row>
    <row r="40" spans="1:13" outlineLevel="1" x14ac:dyDescent="0.2">
      <c r="B40" s="63" t="s">
        <v>214</v>
      </c>
      <c r="C40" s="12" t="s">
        <v>8</v>
      </c>
      <c r="D40" s="12"/>
      <c r="E40" s="30">
        <v>98876</v>
      </c>
      <c r="F40" s="30">
        <v>107037</v>
      </c>
      <c r="G40" s="30"/>
      <c r="H40" s="30"/>
      <c r="I40" s="30"/>
      <c r="J40" s="100"/>
      <c r="K40" s="13">
        <f t="shared" si="3"/>
        <v>8161</v>
      </c>
      <c r="L40" s="14">
        <f t="shared" si="4"/>
        <v>8.2537724017961889E-2</v>
      </c>
      <c r="M40" s="12" t="s">
        <v>42</v>
      </c>
    </row>
    <row r="41" spans="1:13" outlineLevel="1" x14ac:dyDescent="0.2">
      <c r="B41" s="63" t="s">
        <v>215</v>
      </c>
      <c r="C41" s="12" t="s">
        <v>8</v>
      </c>
      <c r="D41" s="12"/>
      <c r="E41" s="30">
        <v>185296</v>
      </c>
      <c r="F41" s="30">
        <v>155073</v>
      </c>
      <c r="G41" s="30"/>
      <c r="H41" s="30"/>
      <c r="I41" s="30"/>
      <c r="J41" s="100"/>
      <c r="K41" s="13">
        <f t="shared" si="3"/>
        <v>-30223</v>
      </c>
      <c r="L41" s="14">
        <f t="shared" si="4"/>
        <v>-0.16310659701234781</v>
      </c>
      <c r="M41" s="12" t="s">
        <v>43</v>
      </c>
    </row>
    <row r="42" spans="1:13" outlineLevel="1" x14ac:dyDescent="0.2">
      <c r="B42" s="63" t="s">
        <v>157</v>
      </c>
      <c r="C42" s="12" t="s">
        <v>8</v>
      </c>
      <c r="D42" s="12"/>
      <c r="E42" s="13">
        <f>E43-SUM(E38:E41)</f>
        <v>20454</v>
      </c>
      <c r="F42" s="13">
        <f>F43-SUM(F38:F41)</f>
        <v>20904</v>
      </c>
      <c r="G42" s="13">
        <f t="shared" ref="G42:I42" si="9">G43-SUM(G38:G41)</f>
        <v>0</v>
      </c>
      <c r="H42" s="13">
        <f t="shared" si="9"/>
        <v>0</v>
      </c>
      <c r="I42" s="13">
        <f t="shared" si="9"/>
        <v>0</v>
      </c>
      <c r="J42" s="72"/>
      <c r="K42" s="13">
        <f t="shared" ref="K42" si="10">F42-E42</f>
        <v>450</v>
      </c>
      <c r="L42" s="14">
        <f t="shared" si="4"/>
        <v>2.2000586682311529E-2</v>
      </c>
      <c r="M42" s="12"/>
    </row>
    <row r="43" spans="1:13" outlineLevel="1" x14ac:dyDescent="0.2">
      <c r="B43" s="64" t="s">
        <v>44</v>
      </c>
      <c r="C43" s="18" t="s">
        <v>8</v>
      </c>
      <c r="D43" s="18"/>
      <c r="E43" s="37">
        <v>579781</v>
      </c>
      <c r="F43" s="37">
        <v>472511</v>
      </c>
      <c r="G43" s="33"/>
      <c r="H43" s="33"/>
      <c r="I43" s="33"/>
      <c r="J43" s="100"/>
      <c r="K43" s="19">
        <f t="shared" si="3"/>
        <v>-107270</v>
      </c>
      <c r="L43" s="20">
        <f t="shared" si="4"/>
        <v>-0.18501813615830806</v>
      </c>
      <c r="M43" s="18" t="s">
        <v>38</v>
      </c>
    </row>
    <row r="44" spans="1:13" ht="17" outlineLevel="1" thickBot="1" x14ac:dyDescent="0.25">
      <c r="B44" s="66" t="s">
        <v>45</v>
      </c>
      <c r="C44" s="15" t="s">
        <v>8</v>
      </c>
      <c r="D44" s="15"/>
      <c r="E44" s="35">
        <v>201239</v>
      </c>
      <c r="F44" s="35">
        <v>359984</v>
      </c>
      <c r="G44" s="35"/>
      <c r="H44" s="35"/>
      <c r="I44" s="35"/>
      <c r="J44" s="100"/>
      <c r="K44" s="16">
        <f t="shared" si="3"/>
        <v>158745</v>
      </c>
      <c r="L44" s="17">
        <f t="shared" si="4"/>
        <v>0.78883814767515248</v>
      </c>
      <c r="M44" s="15" t="s">
        <v>38</v>
      </c>
    </row>
    <row r="45" spans="1:13" s="53" customFormat="1" ht="17" outlineLevel="1" thickTop="1" x14ac:dyDescent="0.2">
      <c r="A45" s="53" t="str">
        <f>IF(SUM(E45:I45)&lt;&gt;0,"Error","OK")</f>
        <v>OK</v>
      </c>
      <c r="B45" s="84" t="s">
        <v>232</v>
      </c>
      <c r="C45" s="85" t="s">
        <v>176</v>
      </c>
      <c r="D45" s="85"/>
      <c r="E45" s="86">
        <f>E37-(E43+E44)</f>
        <v>0</v>
      </c>
      <c r="F45" s="86">
        <f>F37-(F43+F44)</f>
        <v>0</v>
      </c>
      <c r="G45" s="86">
        <f>G37-(G43+G44)</f>
        <v>0</v>
      </c>
      <c r="H45" s="86">
        <f>H37-(H43+H44)</f>
        <v>0</v>
      </c>
      <c r="I45" s="86">
        <f>I37-(I43+I44)</f>
        <v>0</v>
      </c>
      <c r="J45" s="102"/>
      <c r="K45" s="85"/>
      <c r="L45" s="56"/>
      <c r="M45" s="85"/>
    </row>
    <row r="46" spans="1:13" outlineLevel="1" x14ac:dyDescent="0.2">
      <c r="B46" s="79"/>
      <c r="C46" s="22"/>
      <c r="D46" s="22"/>
      <c r="E46" s="22"/>
      <c r="F46" s="22"/>
      <c r="G46" s="22"/>
      <c r="H46" s="22"/>
      <c r="I46" s="22"/>
      <c r="J46" s="22"/>
      <c r="K46" s="22"/>
      <c r="L46" s="83"/>
      <c r="M46" s="22"/>
    </row>
    <row r="47" spans="1:13" outlineLevel="1" x14ac:dyDescent="0.2">
      <c r="B47" s="63" t="s">
        <v>46</v>
      </c>
      <c r="C47" s="12" t="s">
        <v>48</v>
      </c>
      <c r="D47" s="12"/>
      <c r="E47" s="30">
        <v>28823</v>
      </c>
      <c r="F47" s="30">
        <v>28823</v>
      </c>
      <c r="G47" s="30"/>
      <c r="H47" s="30"/>
      <c r="I47" s="30"/>
      <c r="J47" s="100"/>
      <c r="K47" s="13">
        <f t="shared" si="3"/>
        <v>0</v>
      </c>
      <c r="L47" s="14">
        <f t="shared" ref="L47:L49" si="11">IF(E47=0,"N/a",K47/ABS(E47))</f>
        <v>0</v>
      </c>
      <c r="M47" s="12" t="s">
        <v>47</v>
      </c>
    </row>
    <row r="48" spans="1:13" outlineLevel="1" x14ac:dyDescent="0.2">
      <c r="B48" s="63" t="s">
        <v>49</v>
      </c>
      <c r="C48" s="12" t="s">
        <v>48</v>
      </c>
      <c r="D48" s="12"/>
      <c r="E48" s="30">
        <v>0</v>
      </c>
      <c r="F48" s="30">
        <v>2400</v>
      </c>
      <c r="G48" s="30"/>
      <c r="H48" s="30"/>
      <c r="I48" s="30"/>
      <c r="J48" s="100"/>
      <c r="K48" s="13">
        <f t="shared" si="3"/>
        <v>2400</v>
      </c>
      <c r="L48" s="14" t="str">
        <f t="shared" si="11"/>
        <v>N/a</v>
      </c>
      <c r="M48" s="12" t="s">
        <v>47</v>
      </c>
    </row>
    <row r="49" spans="1:13" ht="17" outlineLevel="1" thickBot="1" x14ac:dyDescent="0.25">
      <c r="B49" s="66" t="s">
        <v>50</v>
      </c>
      <c r="C49" s="15" t="s">
        <v>48</v>
      </c>
      <c r="D49" s="15"/>
      <c r="E49" s="35">
        <v>28823</v>
      </c>
      <c r="F49" s="35">
        <v>31223</v>
      </c>
      <c r="G49" s="35"/>
      <c r="H49" s="35"/>
      <c r="I49" s="35"/>
      <c r="J49" s="100"/>
      <c r="K49" s="16">
        <f t="shared" si="3"/>
        <v>2400</v>
      </c>
      <c r="L49" s="17">
        <f t="shared" si="11"/>
        <v>8.326683551330534E-2</v>
      </c>
      <c r="M49" s="15" t="s">
        <v>47</v>
      </c>
    </row>
    <row r="50" spans="1:13" ht="17" thickTop="1" x14ac:dyDescent="0.2"/>
    <row r="51" spans="1:13" s="24" customFormat="1" x14ac:dyDescent="0.2">
      <c r="A51" s="24" t="s">
        <v>139</v>
      </c>
      <c r="B51" s="67" t="s">
        <v>51</v>
      </c>
      <c r="K51" s="26"/>
    </row>
    <row r="52" spans="1:13" outlineLevel="1" x14ac:dyDescent="0.2">
      <c r="B52" s="63" t="s">
        <v>52</v>
      </c>
      <c r="C52" s="12" t="s">
        <v>8</v>
      </c>
      <c r="D52" s="12"/>
      <c r="E52" s="30">
        <v>53126</v>
      </c>
      <c r="F52" s="30">
        <v>77000</v>
      </c>
      <c r="G52" s="30"/>
      <c r="H52" s="30"/>
      <c r="I52" s="30"/>
      <c r="J52" s="100"/>
      <c r="K52" s="13">
        <f>F52-E52</f>
        <v>23874</v>
      </c>
      <c r="L52" s="14">
        <f t="shared" ref="L52:L55" si="12">IF(E52=0,"N/a",K52/ABS(E52))</f>
        <v>0.4493844821744532</v>
      </c>
      <c r="M52" s="12" t="s">
        <v>53</v>
      </c>
    </row>
    <row r="53" spans="1:13" outlineLevel="1" x14ac:dyDescent="0.2">
      <c r="B53" s="63" t="s">
        <v>54</v>
      </c>
      <c r="C53" s="12" t="s">
        <v>8</v>
      </c>
      <c r="D53" s="12"/>
      <c r="E53" s="30">
        <v>57437</v>
      </c>
      <c r="F53" s="30">
        <v>57218</v>
      </c>
      <c r="G53" s="99"/>
      <c r="H53" s="99"/>
      <c r="I53" s="99"/>
      <c r="J53" s="103"/>
      <c r="K53" s="13">
        <f>F53-E53</f>
        <v>-219</v>
      </c>
      <c r="L53" s="14">
        <f t="shared" si="12"/>
        <v>-3.8128732350227205E-3</v>
      </c>
      <c r="M53" s="12" t="s">
        <v>53</v>
      </c>
    </row>
    <row r="54" spans="1:13" outlineLevel="1" x14ac:dyDescent="0.2">
      <c r="B54" s="63" t="s">
        <v>143</v>
      </c>
      <c r="C54" s="12" t="s">
        <v>8</v>
      </c>
      <c r="D54" s="12"/>
      <c r="E54" s="30">
        <v>-24860</v>
      </c>
      <c r="F54" s="30">
        <v>-49348</v>
      </c>
      <c r="G54" s="30"/>
      <c r="H54" s="30"/>
      <c r="I54" s="30"/>
      <c r="J54" s="100"/>
      <c r="K54" s="13">
        <f>F54-E54</f>
        <v>-24488</v>
      </c>
      <c r="L54" s="14">
        <f t="shared" si="12"/>
        <v>-0.98503620273531778</v>
      </c>
      <c r="M54" s="12" t="s">
        <v>55</v>
      </c>
    </row>
    <row r="55" spans="1:13" outlineLevel="1" x14ac:dyDescent="0.2">
      <c r="B55" s="63" t="s">
        <v>56</v>
      </c>
      <c r="C55" s="12" t="s">
        <v>8</v>
      </c>
      <c r="D55" s="12"/>
      <c r="E55" s="30">
        <v>220000</v>
      </c>
      <c r="F55" s="30">
        <v>220000</v>
      </c>
      <c r="G55" s="30"/>
      <c r="H55" s="30"/>
      <c r="I55" s="30"/>
      <c r="J55" s="100"/>
      <c r="K55" s="13">
        <f>F55-E55</f>
        <v>0</v>
      </c>
      <c r="L55" s="14">
        <f t="shared" si="12"/>
        <v>0</v>
      </c>
      <c r="M55" s="12" t="s">
        <v>57</v>
      </c>
    </row>
    <row r="57" spans="1:13" s="7" customFormat="1" ht="16" customHeight="1" x14ac:dyDescent="0.25">
      <c r="A57" s="10" t="s">
        <v>127</v>
      </c>
      <c r="B57" s="61" t="s">
        <v>129</v>
      </c>
      <c r="C57" s="8"/>
    </row>
  </sheetData>
  <sheetProtection formatColumns="0" formatRows="0" sort="0" autoFilter="0"/>
  <conditionalFormatting sqref="A45">
    <cfRule type="containsText" dxfId="7" priority="1" operator="containsText" text="Error">
      <formula>NOT(ISERROR(SEARCH("Error",A45)))</formula>
    </cfRule>
  </conditionalFormatting>
  <conditionalFormatting sqref="G10:J26">
    <cfRule type="expression" dxfId="6" priority="9">
      <formula>RIGHT(G$4, 1)="E"</formula>
    </cfRule>
  </conditionalFormatting>
  <conditionalFormatting sqref="G30:J31">
    <cfRule type="expression" dxfId="5" priority="7">
      <formula>RIGHT(G$4, 1)="E"</formula>
    </cfRule>
  </conditionalFormatting>
  <conditionalFormatting sqref="G33:J34">
    <cfRule type="expression" dxfId="4" priority="6">
      <formula>RIGHT(G$4, 1)="E"</formula>
    </cfRule>
  </conditionalFormatting>
  <conditionalFormatting sqref="G36:J41">
    <cfRule type="expression" dxfId="3" priority="5">
      <formula>RIGHT(G$4, 1)="E"</formula>
    </cfRule>
  </conditionalFormatting>
  <conditionalFormatting sqref="G43:J44">
    <cfRule type="expression" dxfId="2" priority="4">
      <formula>RIGHT(G$4, 1)="E"</formula>
    </cfRule>
  </conditionalFormatting>
  <conditionalFormatting sqref="G47:J49">
    <cfRule type="expression" dxfId="1" priority="3">
      <formula>RIGHT(G$4, 1)="E"</formula>
    </cfRule>
  </conditionalFormatting>
  <conditionalFormatting sqref="G52:J55">
    <cfRule type="expression" dxfId="0" priority="2">
      <formula>RIGHT(G$4, 1)="E"</formula>
    </cfRule>
  </conditionalFormatting>
  <hyperlinks>
    <hyperlink ref="B6" r:id="rId1" location=":~:text=General%20data%20info.%20gavel.%20Business%20name%20Bolt,open_in_new.%20Rental%20of%20other%20machines%20(77399)%20open_in_new." display="Historical Financial Statement" xr:uid="{5E0540E3-CCF6-DF4F-9220-C0E2F66125F2}"/>
  </hyperlinks>
  <pageMargins left="0.75" right="0.75" top="1" bottom="1" header="0.5" footer="0.5"/>
  <pageSetup paperSize="9" orientation="portrait" horizontalDpi="0" verticalDpi="0"/>
  <ignoredErrors>
    <ignoredError sqref="E42:F42"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Contents</vt:lpstr>
      <vt:lpstr>Output&gt;&gt;</vt:lpstr>
      <vt:lpstr>o_Dashboard</vt:lpstr>
      <vt:lpstr>o_Valuation</vt:lpstr>
      <vt:lpstr>o_FS</vt:lpstr>
      <vt:lpstr>Calcs&gt;&gt;</vt:lpstr>
      <vt:lpstr>c_FS</vt:lpstr>
      <vt:lpstr>Input&gt;&gt;</vt:lpstr>
      <vt:lpstr>i_Inputs</vt:lpstr>
      <vt:lpstr>i_Historical</vt:lpstr>
      <vt:lpstr>o_Dashboard!Print_Area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 Shan</cp:lastModifiedBy>
  <cp:lastPrinted>2026-09-11T20:18:41Z</cp:lastPrinted>
  <dcterms:created xsi:type="dcterms:W3CDTF">2026-09-07T20:29:20Z</dcterms:created>
  <dcterms:modified xsi:type="dcterms:W3CDTF">2026-09-14T19:10:11Z</dcterms:modified>
  <cp:category/>
</cp:coreProperties>
</file>