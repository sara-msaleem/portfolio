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sarashan/Downloads/"/>
    </mc:Choice>
  </mc:AlternateContent>
  <xr:revisionPtr revIDLastSave="0" documentId="13_ncr:1_{EF24F888-DFB9-1B42-BB49-DAB17E69E69F}" xr6:coauthVersionLast="47" xr6:coauthVersionMax="47" xr10:uidLastSave="{00000000-0000-0000-0000-000000000000}"/>
  <workbookProtection workbookAlgorithmName="SHA-512" workbookHashValue="Z44C3UyMEVL96bB2AOb31YihuRAWn+WK0XNOKqNiH22qQvOGTrSBUlxcpAHwsliaRiFi7c92lVZkujb1M09ogg==" workbookSaltValue="3kyWm35AZS5dfiT25bcycw==" workbookSpinCount="100000" lockStructure="1"/>
  <bookViews>
    <workbookView xWindow="0" yWindow="500" windowWidth="28800" windowHeight="15800" xr2:uid="{00000000-000D-0000-FFFF-FFFF00000000}"/>
  </bookViews>
  <sheets>
    <sheet name="Contents" sheetId="6" r:id="rId1"/>
    <sheet name="How To" sheetId="14" r:id="rId2"/>
    <sheet name="Output&gt;&gt;" sheetId="7" r:id="rId3"/>
    <sheet name="o_Dashboard" sheetId="13" r:id="rId4"/>
    <sheet name="o_Valuation" sheetId="5" r:id="rId5"/>
    <sheet name="o_FS" sheetId="11" r:id="rId6"/>
    <sheet name="Calcs&gt;&gt;" sheetId="9" r:id="rId7"/>
    <sheet name="c_FS" sheetId="4" r:id="rId8"/>
    <sheet name="Input&gt;&gt;" sheetId="8" r:id="rId9"/>
    <sheet name="i_Scenario_Manager" sheetId="16" r:id="rId10"/>
    <sheet name="i_Inputs" sheetId="3" r:id="rId11"/>
    <sheet name="i_Historical" sheetId="2" r:id="rId12"/>
  </sheets>
  <definedNames>
    <definedName name="_xlnm.Print_Area" localSheetId="3">o_Dashboard!$A$1:$H$64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3" l="1"/>
  <c r="B40" i="3"/>
  <c r="B37" i="3"/>
  <c r="B30" i="3"/>
  <c r="B26" i="3"/>
  <c r="F3" i="13"/>
  <c r="G3" i="13"/>
  <c r="D31" i="5"/>
  <c r="C30" i="13" s="1"/>
  <c r="D27" i="16" a="1"/>
  <c r="D27" i="16" s="1"/>
  <c r="D26" i="16" a="1"/>
  <c r="D26" i="16" s="1"/>
  <c r="D30" i="5" s="1"/>
  <c r="D31" i="16" a="1"/>
  <c r="D31" i="16" s="1"/>
  <c r="D77" i="5" s="1"/>
  <c r="C38" i="13"/>
  <c r="B38" i="13"/>
  <c r="B35" i="13"/>
  <c r="B31" i="13"/>
  <c r="B30" i="13"/>
  <c r="B29" i="13"/>
  <c r="D22" i="16" a="1"/>
  <c r="D22" i="16" s="1"/>
  <c r="D21" i="16" a="1"/>
  <c r="D21" i="16" s="1"/>
  <c r="D20" i="16" a="1"/>
  <c r="D20" i="16" s="1"/>
  <c r="D19" i="16" a="1"/>
  <c r="D19" i="16" s="1"/>
  <c r="D18" i="16" a="1"/>
  <c r="D18" i="16" s="1"/>
  <c r="D16" i="16" a="1"/>
  <c r="D16" i="16" s="1"/>
  <c r="D12" i="16" a="1"/>
  <c r="D12" i="16" s="1"/>
  <c r="D11" i="16" a="1"/>
  <c r="D11" i="16" s="1"/>
  <c r="D10" i="16" a="1"/>
  <c r="D10" i="16" s="1"/>
  <c r="E6" i="16"/>
  <c r="F6" i="16" s="1"/>
  <c r="G6" i="16" s="1"/>
  <c r="H6" i="16" s="1"/>
  <c r="I6" i="16" s="1"/>
  <c r="A2" i="16"/>
  <c r="A1" i="16"/>
  <c r="E3" i="2"/>
  <c r="E5" i="2" s="1"/>
  <c r="E4" i="2" s="1"/>
  <c r="A2" i="14"/>
  <c r="A1" i="14"/>
  <c r="D72" i="5"/>
  <c r="D7" i="5"/>
  <c r="D8" i="5"/>
  <c r="D9" i="5"/>
  <c r="D15" i="5"/>
  <c r="D16" i="5"/>
  <c r="D17" i="5"/>
  <c r="D24" i="5"/>
  <c r="D25" i="5"/>
  <c r="D78" i="3"/>
  <c r="D20" i="5" s="1"/>
  <c r="D79" i="3"/>
  <c r="D12" i="5" s="1"/>
  <c r="D81" i="3"/>
  <c r="D10" i="5" s="1"/>
  <c r="B89" i="5"/>
  <c r="B87" i="5"/>
  <c r="F86" i="5"/>
  <c r="E86" i="5" s="1"/>
  <c r="C71" i="5"/>
  <c r="B71" i="5"/>
  <c r="D71" i="5"/>
  <c r="D32" i="5"/>
  <c r="A2" i="13"/>
  <c r="A1" i="13"/>
  <c r="B7" i="13"/>
  <c r="B34" i="13"/>
  <c r="C42" i="13"/>
  <c r="D61" i="3"/>
  <c r="C34" i="13"/>
  <c r="C33" i="13"/>
  <c r="C32" i="13"/>
  <c r="C31" i="13"/>
  <c r="B33" i="13"/>
  <c r="B32" i="13"/>
  <c r="B26" i="13"/>
  <c r="B25" i="13"/>
  <c r="B24" i="13"/>
  <c r="B23" i="13"/>
  <c r="B22" i="13"/>
  <c r="B21" i="13"/>
  <c r="B20" i="13"/>
  <c r="B19" i="13"/>
  <c r="B18" i="13"/>
  <c r="B17" i="13"/>
  <c r="B10" i="13"/>
  <c r="F3" i="2" l="1"/>
  <c r="D11" i="5"/>
  <c r="D14" i="5" s="1"/>
  <c r="D18" i="5" s="1"/>
  <c r="D21" i="5"/>
  <c r="H86" i="5"/>
  <c r="D86" i="5"/>
  <c r="G86" i="5"/>
  <c r="E5" i="3"/>
  <c r="E5" i="4" s="1"/>
  <c r="E4" i="3"/>
  <c r="E4" i="4" s="1"/>
  <c r="E4" i="11" s="1"/>
  <c r="I47" i="2"/>
  <c r="H47" i="2"/>
  <c r="G47" i="2"/>
  <c r="I44" i="2"/>
  <c r="H44" i="2"/>
  <c r="G44" i="2"/>
  <c r="I37" i="2"/>
  <c r="H37" i="2"/>
  <c r="G37" i="2"/>
  <c r="I34" i="2"/>
  <c r="H34" i="2"/>
  <c r="G34" i="2"/>
  <c r="L50" i="2"/>
  <c r="F37" i="2"/>
  <c r="E37" i="2"/>
  <c r="K36" i="2"/>
  <c r="L36" i="2" s="1"/>
  <c r="C35" i="13"/>
  <c r="D64" i="5"/>
  <c r="D58" i="5"/>
  <c r="D52" i="5"/>
  <c r="D50" i="5"/>
  <c r="D49" i="5"/>
  <c r="D48" i="5"/>
  <c r="D52" i="4"/>
  <c r="E48" i="4" s="1"/>
  <c r="E55" i="4" s="1"/>
  <c r="D46" i="4"/>
  <c r="E43" i="4" s="1"/>
  <c r="F47" i="2"/>
  <c r="E47" i="2"/>
  <c r="D39" i="11"/>
  <c r="E37" i="11" s="1"/>
  <c r="I23" i="11"/>
  <c r="H23" i="11"/>
  <c r="G23" i="11"/>
  <c r="E12" i="4"/>
  <c r="C18" i="13" s="1"/>
  <c r="D39" i="4"/>
  <c r="E35" i="4" s="1"/>
  <c r="F44" i="2"/>
  <c r="E44" i="2"/>
  <c r="F34" i="2"/>
  <c r="E34" i="2"/>
  <c r="D30" i="4"/>
  <c r="K40" i="2"/>
  <c r="L40" i="2" s="1"/>
  <c r="K33" i="2"/>
  <c r="L33" i="2" s="1"/>
  <c r="A2" i="5"/>
  <c r="A1" i="5"/>
  <c r="A2" i="11"/>
  <c r="A1" i="11"/>
  <c r="A2" i="4"/>
  <c r="A1" i="4"/>
  <c r="A2" i="3"/>
  <c r="A1" i="3"/>
  <c r="A2" i="2"/>
  <c r="A1" i="2"/>
  <c r="F25" i="11"/>
  <c r="E25" i="11"/>
  <c r="F23" i="11"/>
  <c r="E23" i="11"/>
  <c r="K38" i="2"/>
  <c r="L38" i="2" s="1"/>
  <c r="K58" i="2"/>
  <c r="L58" i="2" s="1"/>
  <c r="K51" i="2"/>
  <c r="L51" i="2" s="1"/>
  <c r="K50" i="2"/>
  <c r="K49" i="2"/>
  <c r="L49" i="2" s="1"/>
  <c r="K46" i="2"/>
  <c r="L46" i="2" s="1"/>
  <c r="K45" i="2"/>
  <c r="L45" i="2" s="1"/>
  <c r="K43" i="2"/>
  <c r="L43" i="2" s="1"/>
  <c r="K42" i="2"/>
  <c r="L42" i="2" s="1"/>
  <c r="K41" i="2"/>
  <c r="L41" i="2" s="1"/>
  <c r="K39" i="2"/>
  <c r="L39" i="2" s="1"/>
  <c r="K35" i="2"/>
  <c r="L35" i="2" s="1"/>
  <c r="E16" i="4" l="1"/>
  <c r="E20" i="4"/>
  <c r="E9" i="4"/>
  <c r="E21" i="4"/>
  <c r="E10" i="4"/>
  <c r="E19" i="4"/>
  <c r="E18" i="4"/>
  <c r="E22" i="4"/>
  <c r="E8" i="4"/>
  <c r="G3" i="2"/>
  <c r="F5" i="2"/>
  <c r="D22" i="5"/>
  <c r="D26" i="5" s="1"/>
  <c r="C15" i="13"/>
  <c r="E34" i="5"/>
  <c r="E35" i="5" s="1"/>
  <c r="A47" i="2"/>
  <c r="E38" i="11"/>
  <c r="E39" i="11" s="1"/>
  <c r="C25" i="13" s="1"/>
  <c r="E44" i="4"/>
  <c r="E45" i="4" s="1"/>
  <c r="E46" i="4" s="1"/>
  <c r="E40" i="11" s="1"/>
  <c r="E5" i="11"/>
  <c r="E37" i="4"/>
  <c r="E19" i="11" s="1"/>
  <c r="E32" i="11" s="1"/>
  <c r="E36" i="4"/>
  <c r="K37" i="2"/>
  <c r="L37" i="2" s="1"/>
  <c r="K34" i="2"/>
  <c r="L34" i="2" s="1"/>
  <c r="K44" i="2"/>
  <c r="L44" i="2" s="1"/>
  <c r="F4" i="2" l="1"/>
  <c r="F4" i="3" s="1"/>
  <c r="F4" i="4" s="1"/>
  <c r="F4" i="11" s="1"/>
  <c r="F5" i="3"/>
  <c r="F5" i="4" s="1"/>
  <c r="H3" i="2"/>
  <c r="G5" i="2"/>
  <c r="G5" i="3" s="1"/>
  <c r="G5" i="4" s="1"/>
  <c r="C29" i="13"/>
  <c r="C16" i="13"/>
  <c r="F37" i="11"/>
  <c r="F38" i="11" s="1"/>
  <c r="F39" i="11" s="1"/>
  <c r="E54" i="4"/>
  <c r="E33" i="11"/>
  <c r="E38" i="4"/>
  <c r="E39" i="4" s="1"/>
  <c r="K57" i="2"/>
  <c r="L57" i="2" s="1"/>
  <c r="K56" i="2"/>
  <c r="L56" i="2" s="1"/>
  <c r="K55" i="2"/>
  <c r="L55" i="2" s="1"/>
  <c r="K32" i="2"/>
  <c r="L32" i="2" s="1"/>
  <c r="K28" i="2"/>
  <c r="L28" i="2" s="1"/>
  <c r="K27" i="2"/>
  <c r="L27" i="2" s="1"/>
  <c r="K26" i="2"/>
  <c r="L26" i="2" s="1"/>
  <c r="K25" i="2"/>
  <c r="L25" i="2" s="1"/>
  <c r="K24" i="2"/>
  <c r="L24" i="2" s="1"/>
  <c r="K23" i="2"/>
  <c r="L23" i="2" s="1"/>
  <c r="K21" i="2"/>
  <c r="L21" i="2" s="1"/>
  <c r="K20" i="2"/>
  <c r="L20" i="2" s="1"/>
  <c r="K18" i="2"/>
  <c r="L18" i="2" s="1"/>
  <c r="K19" i="2"/>
  <c r="L19" i="2" s="1"/>
  <c r="K22" i="2"/>
  <c r="L22" i="2" s="1"/>
  <c r="K17" i="2"/>
  <c r="L17" i="2" s="1"/>
  <c r="K16" i="2"/>
  <c r="L16" i="2" s="1"/>
  <c r="K15" i="2"/>
  <c r="L15" i="2" s="1"/>
  <c r="K14" i="2"/>
  <c r="L14" i="2" s="1"/>
  <c r="K13" i="2"/>
  <c r="L13" i="2" s="1"/>
  <c r="K12" i="2"/>
  <c r="L12" i="2" s="1"/>
  <c r="F19" i="4" l="1"/>
  <c r="F13" i="11" s="1"/>
  <c r="F9" i="4"/>
  <c r="G9" i="4" s="1"/>
  <c r="F10" i="4"/>
  <c r="G10" i="4" s="1"/>
  <c r="F16" i="4"/>
  <c r="F9" i="11" s="1"/>
  <c r="F20" i="4"/>
  <c r="F14" i="11" s="1"/>
  <c r="F21" i="4"/>
  <c r="F15" i="11" s="1"/>
  <c r="F22" i="4"/>
  <c r="F16" i="11" s="1"/>
  <c r="F18" i="4"/>
  <c r="F8" i="4"/>
  <c r="G8" i="4" s="1"/>
  <c r="G4" i="2"/>
  <c r="G4" i="3" s="1"/>
  <c r="G4" i="4" s="1"/>
  <c r="G4" i="11" s="1"/>
  <c r="E15" i="13" s="1"/>
  <c r="I3" i="2"/>
  <c r="H5" i="2"/>
  <c r="H5" i="3" s="1"/>
  <c r="H5" i="4" s="1"/>
  <c r="G5" i="11"/>
  <c r="E16" i="13" s="1"/>
  <c r="G44" i="4"/>
  <c r="G36" i="4"/>
  <c r="G33" i="11" s="1"/>
  <c r="F58" i="4"/>
  <c r="F22" i="11" s="1"/>
  <c r="F5" i="11"/>
  <c r="D16" i="13" s="1"/>
  <c r="F29" i="4"/>
  <c r="F28" i="4"/>
  <c r="F37" i="4"/>
  <c r="F19" i="11" s="1"/>
  <c r="F32" i="11" s="1"/>
  <c r="F44" i="4"/>
  <c r="F36" i="4"/>
  <c r="F33" i="11" s="1"/>
  <c r="D15" i="13"/>
  <c r="F34" i="5"/>
  <c r="F35" i="5" s="1"/>
  <c r="F40" i="5" s="1"/>
  <c r="E36" i="5"/>
  <c r="E40" i="5"/>
  <c r="G37" i="11"/>
  <c r="C39" i="13"/>
  <c r="D25" i="13"/>
  <c r="E49" i="4"/>
  <c r="F35" i="4"/>
  <c r="E11" i="4"/>
  <c r="G11" i="4" l="1"/>
  <c r="G16" i="4" s="1"/>
  <c r="G29" i="4" s="1"/>
  <c r="H4" i="2"/>
  <c r="H4" i="3" s="1"/>
  <c r="H4" i="4" s="1"/>
  <c r="H4" i="11" s="1"/>
  <c r="H34" i="5" s="1"/>
  <c r="H35" i="5" s="1"/>
  <c r="H9" i="4"/>
  <c r="H8" i="4"/>
  <c r="H10" i="4"/>
  <c r="G34" i="5"/>
  <c r="G35" i="5" s="1"/>
  <c r="G36" i="5" s="1"/>
  <c r="G40" i="5" s="1"/>
  <c r="F36" i="5"/>
  <c r="G19" i="4"/>
  <c r="G21" i="4"/>
  <c r="G22" i="4"/>
  <c r="G16" i="11" s="1"/>
  <c r="G20" i="4"/>
  <c r="G18" i="4"/>
  <c r="F30" i="4"/>
  <c r="F12" i="11"/>
  <c r="F23" i="4"/>
  <c r="H5" i="11"/>
  <c r="F16" i="13" s="1"/>
  <c r="H36" i="4"/>
  <c r="H33" i="11" s="1"/>
  <c r="H44" i="4"/>
  <c r="I5" i="2"/>
  <c r="I5" i="3" s="1"/>
  <c r="I5" i="4" s="1"/>
  <c r="I4" i="2"/>
  <c r="I4" i="3" s="1"/>
  <c r="I4" i="4" s="1"/>
  <c r="I4" i="11" s="1"/>
  <c r="F11" i="4"/>
  <c r="E14" i="11"/>
  <c r="E16" i="11"/>
  <c r="E13" i="11"/>
  <c r="E28" i="4"/>
  <c r="E15" i="11"/>
  <c r="G28" i="4"/>
  <c r="F38" i="4"/>
  <c r="F49" i="4" s="1"/>
  <c r="E8" i="11"/>
  <c r="G8" i="11"/>
  <c r="H36" i="5" l="1"/>
  <c r="H40" i="5" s="1"/>
  <c r="H11" i="4"/>
  <c r="H19" i="4" s="1"/>
  <c r="H13" i="11" s="1"/>
  <c r="F15" i="13"/>
  <c r="I10" i="4"/>
  <c r="I8" i="4"/>
  <c r="I9" i="4"/>
  <c r="H21" i="4"/>
  <c r="H15" i="11" s="1"/>
  <c r="H22" i="4"/>
  <c r="H16" i="11" s="1"/>
  <c r="F24" i="4"/>
  <c r="H8" i="11"/>
  <c r="F17" i="13" s="1"/>
  <c r="F12" i="4"/>
  <c r="D18" i="13" s="1"/>
  <c r="G15" i="13"/>
  <c r="I34" i="5"/>
  <c r="I35" i="5" s="1"/>
  <c r="F8" i="11"/>
  <c r="F10" i="11" s="1"/>
  <c r="F17" i="11" s="1"/>
  <c r="D22" i="13" s="1"/>
  <c r="G12" i="4"/>
  <c r="E18" i="13" s="1"/>
  <c r="I5" i="11"/>
  <c r="G16" i="13" s="1"/>
  <c r="I36" i="4"/>
  <c r="I33" i="11" s="1"/>
  <c r="I44" i="4"/>
  <c r="E89" i="5"/>
  <c r="E87" i="5"/>
  <c r="E88" i="5"/>
  <c r="E12" i="11"/>
  <c r="E23" i="4"/>
  <c r="E24" i="4" s="1"/>
  <c r="E9" i="11"/>
  <c r="E10" i="11" s="1"/>
  <c r="E29" i="4"/>
  <c r="E30" i="4" s="1"/>
  <c r="E17" i="13"/>
  <c r="F89" i="5"/>
  <c r="D57" i="5"/>
  <c r="D59" i="5" s="1"/>
  <c r="D60" i="5" s="1"/>
  <c r="D61" i="5" s="1"/>
  <c r="F87" i="5"/>
  <c r="F88" i="5"/>
  <c r="H88" i="5"/>
  <c r="D87" i="5"/>
  <c r="D88" i="5"/>
  <c r="H87" i="5"/>
  <c r="D89" i="5"/>
  <c r="H89" i="5"/>
  <c r="G89" i="5"/>
  <c r="G87" i="5"/>
  <c r="G88" i="5"/>
  <c r="C17" i="13"/>
  <c r="F39" i="4"/>
  <c r="G35" i="4" s="1"/>
  <c r="G37" i="4" s="1"/>
  <c r="G38" i="4" s="1"/>
  <c r="G49" i="4" s="1"/>
  <c r="G14" i="11"/>
  <c r="G15" i="11"/>
  <c r="G13" i="11"/>
  <c r="H20" i="4" l="1"/>
  <c r="H14" i="11" s="1"/>
  <c r="H16" i="4"/>
  <c r="H29" i="4" s="1"/>
  <c r="H18" i="4"/>
  <c r="H23" i="4" s="1"/>
  <c r="H24" i="4" s="1"/>
  <c r="H28" i="4"/>
  <c r="I11" i="4"/>
  <c r="I16" i="4" s="1"/>
  <c r="H12" i="4"/>
  <c r="F18" i="13" s="1"/>
  <c r="D17" i="13"/>
  <c r="I36" i="5"/>
  <c r="I37" i="5" s="1"/>
  <c r="E17" i="11"/>
  <c r="E20" i="11" s="1"/>
  <c r="C20" i="13" s="1"/>
  <c r="E31" i="4"/>
  <c r="E34" i="11" s="1"/>
  <c r="F31" i="4"/>
  <c r="F34" i="11" s="1"/>
  <c r="F11" i="11"/>
  <c r="D19" i="13" s="1"/>
  <c r="E11" i="11"/>
  <c r="C19" i="13" s="1"/>
  <c r="G19" i="11"/>
  <c r="G12" i="11"/>
  <c r="G23" i="4"/>
  <c r="G24" i="4" s="1"/>
  <c r="H9" i="11"/>
  <c r="H10" i="11" s="1"/>
  <c r="H11" i="11" s="1"/>
  <c r="F19" i="13" s="1"/>
  <c r="G30" i="4"/>
  <c r="G31" i="4" s="1"/>
  <c r="G34" i="11" s="1"/>
  <c r="G9" i="11"/>
  <c r="G10" i="11" s="1"/>
  <c r="F31" i="11"/>
  <c r="F24" i="11"/>
  <c r="F26" i="11" s="1"/>
  <c r="F18" i="11"/>
  <c r="F20" i="11"/>
  <c r="D20" i="13" s="1"/>
  <c r="H12" i="11" l="1"/>
  <c r="H30" i="4"/>
  <c r="I12" i="4"/>
  <c r="G18" i="13" s="1"/>
  <c r="I22" i="4"/>
  <c r="I16" i="11" s="1"/>
  <c r="I28" i="4"/>
  <c r="I8" i="11"/>
  <c r="G17" i="13" s="1"/>
  <c r="I20" i="4"/>
  <c r="I14" i="11" s="1"/>
  <c r="I18" i="4"/>
  <c r="I12" i="11" s="1"/>
  <c r="I21" i="4"/>
  <c r="I15" i="11" s="1"/>
  <c r="I19" i="4"/>
  <c r="I13" i="11" s="1"/>
  <c r="I29" i="4"/>
  <c r="I9" i="11"/>
  <c r="I40" i="5"/>
  <c r="E37" i="5"/>
  <c r="H37" i="5"/>
  <c r="F37" i="5"/>
  <c r="G37" i="5"/>
  <c r="C22" i="13"/>
  <c r="F35" i="11"/>
  <c r="D24" i="13" s="1"/>
  <c r="E21" i="11"/>
  <c r="C21" i="13" s="1"/>
  <c r="E18" i="11"/>
  <c r="E31" i="11"/>
  <c r="E35" i="11" s="1"/>
  <c r="C24" i="13" s="1"/>
  <c r="F27" i="11"/>
  <c r="D23" i="13"/>
  <c r="G39" i="4"/>
  <c r="H35" i="4" s="1"/>
  <c r="H37" i="4" s="1"/>
  <c r="H38" i="4" s="1"/>
  <c r="H49" i="4" s="1"/>
  <c r="F21" i="11"/>
  <c r="D21" i="13" s="1"/>
  <c r="G17" i="11"/>
  <c r="H17" i="11"/>
  <c r="G11" i="11"/>
  <c r="E19" i="13" s="1"/>
  <c r="H31" i="4"/>
  <c r="H34" i="11" s="1"/>
  <c r="I30" i="4" l="1"/>
  <c r="I31" i="4" s="1"/>
  <c r="I34" i="11" s="1"/>
  <c r="I23" i="4"/>
  <c r="I24" i="4" s="1"/>
  <c r="I10" i="11"/>
  <c r="I11" i="11" s="1"/>
  <c r="G19" i="13" s="1"/>
  <c r="I17" i="11"/>
  <c r="G22" i="13" s="1"/>
  <c r="F39" i="5"/>
  <c r="F41" i="5" s="1"/>
  <c r="E39" i="5"/>
  <c r="G31" i="11"/>
  <c r="E22" i="13"/>
  <c r="H31" i="11"/>
  <c r="F22" i="13"/>
  <c r="H19" i="11"/>
  <c r="G18" i="11"/>
  <c r="H18" i="11"/>
  <c r="I18" i="11"/>
  <c r="I31" i="11" l="1"/>
  <c r="E41" i="5"/>
  <c r="H39" i="4"/>
  <c r="I35" i="4" s="1"/>
  <c r="I37" i="4" s="1"/>
  <c r="I38" i="4" s="1"/>
  <c r="I49" i="4" s="1"/>
  <c r="H32" i="11"/>
  <c r="H35" i="11" s="1"/>
  <c r="H20" i="11"/>
  <c r="G32" i="11"/>
  <c r="G35" i="11" s="1"/>
  <c r="G20" i="11"/>
  <c r="D63" i="5" s="1"/>
  <c r="D65" i="5" s="1"/>
  <c r="D66" i="5" s="1"/>
  <c r="D67" i="5" s="1"/>
  <c r="E24" i="13" l="1"/>
  <c r="G39" i="5"/>
  <c r="F24" i="13"/>
  <c r="H39" i="5"/>
  <c r="H41" i="5" s="1"/>
  <c r="H21" i="11"/>
  <c r="F21" i="13" s="1"/>
  <c r="F20" i="13"/>
  <c r="G21" i="11"/>
  <c r="E21" i="13" s="1"/>
  <c r="E20" i="13"/>
  <c r="I19" i="11"/>
  <c r="G41" i="5" l="1"/>
  <c r="I39" i="4"/>
  <c r="I20" i="11"/>
  <c r="I32" i="11"/>
  <c r="I35" i="11" s="1"/>
  <c r="I39" i="5" s="1"/>
  <c r="I41" i="5" s="1"/>
  <c r="D44" i="5" l="1"/>
  <c r="D45" i="5" s="1"/>
  <c r="D46" i="5" s="1"/>
  <c r="D43" i="5"/>
  <c r="G24" i="13"/>
  <c r="I21" i="11"/>
  <c r="G21" i="13" s="1"/>
  <c r="G20" i="13"/>
  <c r="D47" i="5" l="1"/>
  <c r="D74" i="5" s="1"/>
  <c r="F43" i="4"/>
  <c r="D75" i="5" l="1"/>
  <c r="D51" i="5"/>
  <c r="D53" i="5" s="1"/>
  <c r="F45" i="4"/>
  <c r="F46" i="4" s="1"/>
  <c r="F54" i="4" s="1"/>
  <c r="B11" i="13" l="1"/>
  <c r="D78" i="5"/>
  <c r="D80" i="5"/>
  <c r="D81" i="5" s="1"/>
  <c r="B8" i="13" s="1"/>
  <c r="F40" i="11"/>
  <c r="C40" i="13" s="1"/>
  <c r="G43" i="4"/>
  <c r="G45" i="4" s="1"/>
  <c r="G46" i="4" l="1"/>
  <c r="G54" i="4" s="1"/>
  <c r="G40" i="11" l="1"/>
  <c r="H43" i="4"/>
  <c r="H45" i="4" s="1"/>
  <c r="H46" i="4" l="1"/>
  <c r="H54" i="4" s="1"/>
  <c r="H40" i="11" l="1"/>
  <c r="I43" i="4"/>
  <c r="I45" i="4" s="1"/>
  <c r="I46" i="4" l="1"/>
  <c r="I40" i="11" l="1"/>
  <c r="I54" i="4"/>
  <c r="E56" i="4" l="1"/>
  <c r="E58" i="4" s="1"/>
  <c r="E22" i="11" s="1"/>
  <c r="E24" i="11" s="1"/>
  <c r="E26" i="11" s="1"/>
  <c r="E50" i="4"/>
  <c r="C23" i="13" l="1"/>
  <c r="E27" i="11"/>
  <c r="E51" i="4"/>
  <c r="E52" i="4" s="1"/>
  <c r="E41" i="11" l="1"/>
  <c r="E42" i="11" s="1"/>
  <c r="C26" i="13" s="1"/>
  <c r="F48" i="4"/>
  <c r="F55" i="4" l="1"/>
  <c r="F50" i="4" l="1"/>
  <c r="F56" i="4"/>
  <c r="F51" i="4" l="1"/>
  <c r="F52" i="4" s="1"/>
  <c r="I41" i="3" l="1"/>
  <c r="H41" i="3"/>
  <c r="G41" i="3"/>
  <c r="G48" i="4"/>
  <c r="F41" i="11"/>
  <c r="C41" i="13" l="1"/>
  <c r="F42" i="11"/>
  <c r="D26" i="13" s="1"/>
  <c r="G55" i="4"/>
  <c r="G56" i="4" l="1"/>
  <c r="G58" i="4" s="1"/>
  <c r="G22" i="11" s="1"/>
  <c r="G50" i="4"/>
  <c r="G51" i="4" l="1"/>
  <c r="G52" i="4" s="1"/>
  <c r="G24" i="11"/>
  <c r="G38" i="11" l="1"/>
  <c r="G39" i="11" s="1"/>
  <c r="E25" i="13" s="1"/>
  <c r="H48" i="4"/>
  <c r="G41" i="11"/>
  <c r="G25" i="11"/>
  <c r="G26" i="11" s="1"/>
  <c r="H55" i="4"/>
  <c r="H37" i="11" l="1"/>
  <c r="G42" i="11"/>
  <c r="E26" i="13" s="1"/>
  <c r="E23" i="13"/>
  <c r="G27" i="11"/>
  <c r="H56" i="4"/>
  <c r="H58" i="4" s="1"/>
  <c r="H22" i="11" s="1"/>
  <c r="H50" i="4"/>
  <c r="H51" i="4" l="1"/>
  <c r="H52" i="4" s="1"/>
  <c r="H24" i="11"/>
  <c r="H41" i="11" l="1"/>
  <c r="I48" i="4"/>
  <c r="I55" i="4" s="1"/>
  <c r="H38" i="11"/>
  <c r="H39" i="11" s="1"/>
  <c r="I37" i="11" s="1"/>
  <c r="H25" i="11"/>
  <c r="H26" i="11" s="1"/>
  <c r="F25" i="13" l="1"/>
  <c r="H42" i="11"/>
  <c r="F26" i="13" s="1"/>
  <c r="H27" i="11"/>
  <c r="F23" i="13"/>
  <c r="I50" i="4"/>
  <c r="I56" i="4"/>
  <c r="I58" i="4" s="1"/>
  <c r="I22" i="11" s="1"/>
  <c r="I51" i="4" l="1"/>
  <c r="I52" i="4" s="1"/>
  <c r="I41" i="11" s="1"/>
  <c r="I24" i="11"/>
  <c r="I38" i="11" l="1"/>
  <c r="I39" i="11" s="1"/>
  <c r="G25" i="13" s="1"/>
  <c r="I25" i="11"/>
  <c r="I26" i="11" s="1"/>
  <c r="I42" i="11" l="1"/>
  <c r="G26" i="13" s="1"/>
  <c r="G23" i="13"/>
  <c r="I27"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<sst xmlns="http://schemas.openxmlformats.org/spreadsheetml/2006/main" count="589" uniqueCount="334">
  <si>
    <t>Source Note</t>
  </si>
  <si>
    <t>Unit</t>
  </si>
  <si>
    <t>YoY Change (€)</t>
  </si>
  <si>
    <t>YoY Change (%)</t>
  </si>
  <si>
    <t>Ride-hailing revenue</t>
  </si>
  <si>
    <t>Note 17</t>
  </si>
  <si>
    <t>EUR '000</t>
  </si>
  <si>
    <t>Food &amp; goods delivery revenue</t>
  </si>
  <si>
    <t>Rental services revenue (Micromobility &amp; Drive)</t>
  </si>
  <si>
    <t>Total Sales Revenue</t>
  </si>
  <si>
    <t>Note 20</t>
  </si>
  <si>
    <t>Gross Profit</t>
  </si>
  <si>
    <t>P&amp;L</t>
  </si>
  <si>
    <t>Other operating income</t>
  </si>
  <si>
    <t>Note 18</t>
  </si>
  <si>
    <t>Research and development expenses</t>
  </si>
  <si>
    <t>Note 21</t>
  </si>
  <si>
    <t>Marketing expenses</t>
  </si>
  <si>
    <t>Note 22</t>
  </si>
  <si>
    <t>General and administrative expenses</t>
  </si>
  <si>
    <t>Note 23</t>
  </si>
  <si>
    <t>Other operating expenses</t>
  </si>
  <si>
    <t>Note 19</t>
  </si>
  <si>
    <t>Operating Profit / (Loss) (EBIT)</t>
  </si>
  <si>
    <t>Net financial expenses / income</t>
  </si>
  <si>
    <t>Note 26</t>
  </si>
  <si>
    <t>Change in fair value of financial instruments</t>
  </si>
  <si>
    <t>Note 13</t>
  </si>
  <si>
    <t>Profit / (loss) before tax</t>
  </si>
  <si>
    <t>Corporate income tax</t>
  </si>
  <si>
    <t>Note 27</t>
  </si>
  <si>
    <t>Net Profit / (Loss) for the period</t>
  </si>
  <si>
    <t>Balance Sheet &amp; Capitalization Actuals</t>
  </si>
  <si>
    <t>Cash and cash equivalents</t>
  </si>
  <si>
    <t>Note 5</t>
  </si>
  <si>
    <t>Total current assets</t>
  </si>
  <si>
    <t>Balance Sheet</t>
  </si>
  <si>
    <t>Total Assets</t>
  </si>
  <si>
    <t>Funded debt / convertible bonds</t>
  </si>
  <si>
    <t>Note 12</t>
  </si>
  <si>
    <t>Note 14</t>
  </si>
  <si>
    <t>Note 15</t>
  </si>
  <si>
    <t>Total Liabilities</t>
  </si>
  <si>
    <t>Total Equity</t>
  </si>
  <si>
    <t>Shares outstanding (registered)</t>
  </si>
  <si>
    <t>Note 16</t>
  </si>
  <si>
    <t>Thousands</t>
  </si>
  <si>
    <t>Unregistered shares from convertible bond conversion</t>
  </si>
  <si>
    <t>Total Share Count (Diluted)</t>
  </si>
  <si>
    <t>Cash Flow Highlights</t>
  </si>
  <si>
    <t>Operating cash flows</t>
  </si>
  <si>
    <t>Cash Flow</t>
  </si>
  <si>
    <t>Depreciation &amp; Amortization (Total)</t>
  </si>
  <si>
    <t>Note 8</t>
  </si>
  <si>
    <t>Undrawn Syndicated Credit Line</t>
  </si>
  <si>
    <t>Note 12.3</t>
  </si>
  <si>
    <t>%</t>
  </si>
  <si>
    <t>Mature platform equilibrium; AV pilot additions in EU</t>
  </si>
  <si>
    <t>Bolt Plus subscriber adoption (already &gt;20% GMV in core mkts)</t>
  </si>
  <si>
    <t>Micromobility tender wins (UK, London e-bikes, Brussels)</t>
  </si>
  <si>
    <t>Down from 36.6% in 2025 due to transport cost optimization</t>
  </si>
  <si>
    <t>Sustained tech talent density &amp; AV integration with Pony.ai</t>
  </si>
  <si>
    <t>Corporate overhead fixed cost operating leverage</t>
  </si>
  <si>
    <t>Consistent with historical 2025 net receivables (~€127M)</t>
  </si>
  <si>
    <t>Consistent with historical payment terms with fleet/suppliers</t>
  </si>
  <si>
    <t>Reflects 3-8 yr scooter life and 2-3 yr vehicle lease life</t>
  </si>
  <si>
    <t>Weighted Average Cost of Capital (WACC)</t>
  </si>
  <si>
    <t>x</t>
  </si>
  <si>
    <t>Uber trades at ~3.0x; Grab trades at ~2.7x forward revenue</t>
  </si>
  <si>
    <t>Uber mature forward EBITDA trading band (14x - 18x)</t>
  </si>
  <si>
    <t>28.82M base + 2.40M converted loan shares (Note 16)</t>
  </si>
  <si>
    <t>IPO Underwriter Discount / Spread</t>
  </si>
  <si>
    <t>Standard European tech IPO syndication discount</t>
  </si>
  <si>
    <t>Target Primary Capital Raised at IPO</t>
  </si>
  <si>
    <t>Primary proceeds for 100k AV rollout &amp; M&amp;A warchest</t>
  </si>
  <si>
    <t>Rental services revenue</t>
  </si>
  <si>
    <t>Sales revenue</t>
  </si>
  <si>
    <t xml:space="preserve">  Gross Margin %</t>
  </si>
  <si>
    <t>Receivable discounts &amp; write-offs</t>
  </si>
  <si>
    <t xml:space="preserve">  Operating Profit Margin %</t>
  </si>
  <si>
    <t>EBITDA</t>
  </si>
  <si>
    <t xml:space="preserve">  EBITDA Margin %</t>
  </si>
  <si>
    <t>Net financial income / (costs)</t>
  </si>
  <si>
    <t>Fair value adjustments &amp; other</t>
  </si>
  <si>
    <t>Profit / (Loss) Before Income Tax</t>
  </si>
  <si>
    <t>Corporate income tax expense</t>
  </si>
  <si>
    <t>Net Profit / (Loss) for the Period</t>
  </si>
  <si>
    <t xml:space="preserve">  Net Profit Margin %</t>
  </si>
  <si>
    <t>Trade and other receivables</t>
  </si>
  <si>
    <t>Trade and other payables</t>
  </si>
  <si>
    <t>Net Working Capital (NWC)</t>
  </si>
  <si>
    <t>NOPAT</t>
  </si>
  <si>
    <t>Free Cash Flow to Firm (FCFF)</t>
  </si>
  <si>
    <t>Net Cash / (Net Debt) Position</t>
  </si>
  <si>
    <t>Terminal Growth Rate (g)</t>
  </si>
  <si>
    <t>Terminal Value (Gordon Growth)</t>
  </si>
  <si>
    <t>Present Value of Terminal Value</t>
  </si>
  <si>
    <t>Enterprise Value (DCF Method)</t>
  </si>
  <si>
    <t>Less: 2025A Funded Loan Debt</t>
  </si>
  <si>
    <t>Less: 2025A Lease Obligations</t>
  </si>
  <si>
    <t>Implied Equity Value (DCF Method)</t>
  </si>
  <si>
    <t>Diluted Shares Outstanding</t>
  </si>
  <si>
    <t>Implied Share Price (DCF)</t>
  </si>
  <si>
    <t>EUR / Share</t>
  </si>
  <si>
    <t>EV / Sales Multiple Benchmark</t>
  </si>
  <si>
    <t>Implied Enterprise Value (EV / Sales)</t>
  </si>
  <si>
    <t>Implied Equity Value (EV / Sales)</t>
  </si>
  <si>
    <t>Implied Share Price (EV / Sales)</t>
  </si>
  <si>
    <t>EV / EBITDA Multiple Benchmark</t>
  </si>
  <si>
    <t>Implied Enterprise Value (EV / EBITDA)</t>
  </si>
  <si>
    <t>Implied Equity Value (EV / EBITDA)</t>
  </si>
  <si>
    <t>Implied Share Price (EV / EBITDA)</t>
  </si>
  <si>
    <t>Blended Target Pre-Money Enterprise Value</t>
  </si>
  <si>
    <t>Blended Target Pre-Money Equity Value</t>
  </si>
  <si>
    <t>Post-Money Target Equity Value</t>
  </si>
  <si>
    <t>Target Pre-Money Price per Share</t>
  </si>
  <si>
    <t xml:space="preserve"> '</t>
  </si>
  <si>
    <t>Contents</t>
  </si>
  <si>
    <t>End of Worksheet</t>
  </si>
  <si>
    <t>Revenue Breakdown</t>
  </si>
  <si>
    <t>Free Cash Flow and Cash Balance</t>
  </si>
  <si>
    <t>DCF Valuation</t>
  </si>
  <si>
    <t>Comparable Company Analysis</t>
  </si>
  <si>
    <t>Pre-IPO Valuation Summary</t>
  </si>
  <si>
    <t>Consolidated Income Statement</t>
  </si>
  <si>
    <t>Income Statement</t>
  </si>
  <si>
    <t xml:space="preserve"> </t>
  </si>
  <si>
    <t>Valuation and IPO Capital Market Assumptions</t>
  </si>
  <si>
    <t>G&amp;A</t>
  </si>
  <si>
    <t>PP&amp;E Capex</t>
  </si>
  <si>
    <t>Model Key</t>
  </si>
  <si>
    <t>COGS/ selling expenses</t>
  </si>
  <si>
    <t>Historical Consolidated Statement of Financial Position (click to follow source)</t>
  </si>
  <si>
    <t>Note 6</t>
  </si>
  <si>
    <t>Trade and other receivables and prepayments</t>
  </si>
  <si>
    <t>Note 11</t>
  </si>
  <si>
    <t>days</t>
  </si>
  <si>
    <t>Trade receivables</t>
  </si>
  <si>
    <t>Trade payables</t>
  </si>
  <si>
    <t>Working Capital Schedule</t>
  </si>
  <si>
    <t>COGS and Opex Breakdown</t>
  </si>
  <si>
    <t>Other current assets</t>
  </si>
  <si>
    <t>Other liabilities</t>
  </si>
  <si>
    <t>Other Assumptions</t>
  </si>
  <si>
    <t>(€55.0M/yr) to fund recurring micromobility fleet renewals (Note 8 notes an existing €15.7M purchase commitment)</t>
  </si>
  <si>
    <t>Consistent with historical 2025 other income</t>
  </si>
  <si>
    <t>Total Operating Costs</t>
  </si>
  <si>
    <t>Fixed Asset Schedule</t>
  </si>
  <si>
    <t>Effective corporate tax rate</t>
  </si>
  <si>
    <t>Food &amp; delivery</t>
  </si>
  <si>
    <t>Rental &amp; drive revenue</t>
  </si>
  <si>
    <t>PP&amp;E capex</t>
  </si>
  <si>
    <t>Bolt Technology OÜ Consolidated Annual Report 2024</t>
  </si>
  <si>
    <t>Marketing spend</t>
  </si>
  <si>
    <t>R&amp;D spend</t>
  </si>
  <si>
    <t>Cost of debt p.a</t>
  </si>
  <si>
    <t>Interest yield on cash p.a</t>
  </si>
  <si>
    <t>3-Month EURIBOR (~2.65%) + 175–250 bps margin</t>
  </si>
  <si>
    <t>Check</t>
  </si>
  <si>
    <t>Other non-recurring instruments</t>
  </si>
  <si>
    <t>Debt &amp; Financing Obligations</t>
  </si>
  <si>
    <t>COGS / selling expenses</t>
  </si>
  <si>
    <t>Working Capital &amp; Capex</t>
  </si>
  <si>
    <t>COGS &amp; Opex Assumptions (% of Revenue)</t>
  </si>
  <si>
    <t>Bolt had over €206M in money market funds (MMFs) and €134M in tier-1 bank accounts (rated Aa3/Baa1 by Moody’s) (Note 5)</t>
  </si>
  <si>
    <t>Effective incremental borrowing rate p.a</t>
  </si>
  <si>
    <t>Add: 2025A Cash and Cash Equivalents</t>
  </si>
  <si>
    <t>Add: capital expenditures</t>
  </si>
  <si>
    <t>Less: depreciation &amp; amortization</t>
  </si>
  <si>
    <t>Add: drawdowns</t>
  </si>
  <si>
    <t>Opening lease liabilities balance</t>
  </si>
  <si>
    <t>Closing lease liabilities balance</t>
  </si>
  <si>
    <t>Opening fixed assets (PP&amp;E + ROU)</t>
  </si>
  <si>
    <t>Closing fixed assets (PP&amp;E + ROU)</t>
  </si>
  <si>
    <t>Opening debt &amp; convertible bond balance</t>
  </si>
  <si>
    <t>Bolt Technology OÜ Consolidated Annual Report 2025</t>
  </si>
  <si>
    <t>Interest expense related to debt</t>
  </si>
  <si>
    <t>Interest expense related to lease liabilities</t>
  </si>
  <si>
    <t xml:space="preserve">Total interest expense </t>
  </si>
  <si>
    <t>Add: lease interest accretion</t>
  </si>
  <si>
    <t>Lease cash payments</t>
  </si>
  <si>
    <t>Add: ROU fleet additions / other lease movements</t>
  </si>
  <si>
    <t>Less: lease cash payments</t>
  </si>
  <si>
    <t>Note 8 &amp; 9</t>
  </si>
  <si>
    <t>Other non-current assets</t>
  </si>
  <si>
    <t>Total non-current assets</t>
  </si>
  <si>
    <t>Fixed asset (PPE + ROU)</t>
  </si>
  <si>
    <t xml:space="preserve">  YoY revenue growth rate (%)</t>
  </si>
  <si>
    <t>Change in net working capital (ΔNWC)</t>
  </si>
  <si>
    <t>ROU fleet additions / other fixed asset movements</t>
  </si>
  <si>
    <t>Historical periods solve for other fixed-asset movements so the roll-forward ties to audited closing PP&amp;E + ROU. Forecast periods use the explicit ROU-additions control input.</t>
  </si>
  <si>
    <t>Add: ROU fleet additions / other fixed asset movements</t>
  </si>
  <si>
    <t>Lease obligations (current + non-current)</t>
  </si>
  <si>
    <t>Balance sheet provisions (legal + tax)</t>
  </si>
  <si>
    <t>% of sales revenue</t>
  </si>
  <si>
    <t>Less: repayments / derecognition via equity conversion</t>
  </si>
  <si>
    <t>Closing debt balance</t>
  </si>
  <si>
    <t>Net debt drawdown / (repayment)</t>
  </si>
  <si>
    <t>Add: depreciation &amp; amortization</t>
  </si>
  <si>
    <t>Less: capex</t>
  </si>
  <si>
    <t>Less: change in net working capital</t>
  </si>
  <si>
    <t>Opening cash balance</t>
  </si>
  <si>
    <t>Add: net cash generated in period</t>
  </si>
  <si>
    <t>Closing cash &amp; cash equivalents</t>
  </si>
  <si>
    <t>Less: total funded debt outstanding</t>
  </si>
  <si>
    <t>Less: lease liabilities outstanding</t>
  </si>
  <si>
    <t>Depreciation &amp; amortization (add-back)</t>
  </si>
  <si>
    <t>Long-term GDP + growth for urban shared mobility</t>
  </si>
  <si>
    <t>BS Check</t>
  </si>
  <si>
    <t>Payment period</t>
  </si>
  <si>
    <t>Years</t>
  </si>
  <si>
    <t xml:space="preserve">Periodic fixed payment (PMT) </t>
  </si>
  <si>
    <t>KEY VALUATION OUTPUTS</t>
  </si>
  <si>
    <t>FINANCIAL SUMMARY</t>
  </si>
  <si>
    <t>Metric</t>
  </si>
  <si>
    <t>i_</t>
  </si>
  <si>
    <t>Inputs &amp; Assumptions</t>
  </si>
  <si>
    <t>c_</t>
  </si>
  <si>
    <t>Calculations</t>
  </si>
  <si>
    <t>o_</t>
  </si>
  <si>
    <t>&gt;&gt;</t>
  </si>
  <si>
    <t>Hardcoded data, historical figures, and model assumptions</t>
  </si>
  <si>
    <t>Dynamic formulas and cross-sheet links</t>
  </si>
  <si>
    <t>Navigation tabs separating Input, Calcs and Output sections</t>
  </si>
  <si>
    <t>(EUR '000 unless stated)</t>
  </si>
  <si>
    <t xml:space="preserve"> ASSUMPTIONS</t>
  </si>
  <si>
    <t>Shares Outstanding (Diluted Post-Conversion)</t>
  </si>
  <si>
    <t>CAPITAL STRUCTURE 2025A</t>
  </si>
  <si>
    <t>Closing cash</t>
  </si>
  <si>
    <t>Funded debt</t>
  </si>
  <si>
    <t>Lease liabilities</t>
  </si>
  <si>
    <t>Valuation Outputs</t>
  </si>
  <si>
    <t>DCF Weight</t>
  </si>
  <si>
    <t>Equal-weighted consensus Enterprise Value (50:50)</t>
  </si>
  <si>
    <t>2026E Adjusted EBITDA (forward-looking)</t>
  </si>
  <si>
    <t>2026E Consolidated Sales Revenue (forward-looking)</t>
  </si>
  <si>
    <t>Mid-year discounting convention (period offset)</t>
  </si>
  <si>
    <t>0.5 = mid-year convention; 0 = end-of-year discounting</t>
  </si>
  <si>
    <t>Mid-year Discounting Convention (period offset)</t>
  </si>
  <si>
    <t>Forecast period flag</t>
  </si>
  <si>
    <t>Discount period (t)</t>
  </si>
  <si>
    <t>Terminal year flag</t>
  </si>
  <si>
    <t>Discount factor</t>
  </si>
  <si>
    <t>Terminal Year Unlevered FCF</t>
  </si>
  <si>
    <t>Flag</t>
  </si>
  <si>
    <t>Unlevered FCF</t>
  </si>
  <si>
    <t>PV of Unlevered FCF</t>
  </si>
  <si>
    <t>Sensitivity Growth Step (Bear / Bull vs 2026E)</t>
  </si>
  <si>
    <t>Drives Bear (-step) and Bull (+step) rows in o_Valuation sensitivity matrix</t>
  </si>
  <si>
    <t>CAPM &amp; WACC Build-up</t>
  </si>
  <si>
    <t>Risk-free rate (Rf)</t>
  </si>
  <si>
    <t>Equity risk premium (ERP)</t>
  </si>
  <si>
    <t>Country risk premium (CRP)</t>
  </si>
  <si>
    <t>Unlevered (asset) beta - peer median</t>
  </si>
  <si>
    <t>Size / liquidity / company-specific premium</t>
  </si>
  <si>
    <t>Pre-tax cost of debt (Kd) for WACC</t>
  </si>
  <si>
    <t>Marginal tax rate for WACC</t>
  </si>
  <si>
    <t>Target debt weight D / (D + E) at market values</t>
  </si>
  <si>
    <t>Target equity weight E / (D + E)</t>
  </si>
  <si>
    <t>WACC selection switch (1 = CAPM build-up, 0 = manual override)</t>
  </si>
  <si>
    <t>10Y German Bund yield (EUR risk-free proxy)</t>
  </si>
  <si>
    <t>Mature market ERP (Damodaran / CFI range 5.0%-6.0%)</t>
  </si>
  <si>
    <t>Blended CRP for Estonia HQ and EM operating exposure (Africa, LatAm)</t>
  </si>
  <si>
    <t>Peer set: Uber, Lyft, Grab, DiDi - median unlevered beta</t>
  </si>
  <si>
    <t>Pre-IPO liquidity and scale discount vs. listed peers</t>
  </si>
  <si>
    <t>Linked to Cost of debt p.a above; override if IPO-era pricing differs</t>
  </si>
  <si>
    <t>Linked to Effective corporate tax rate above</t>
  </si>
  <si>
    <t>Target long-run capital structure; drives beta relevering (Hamada)</t>
  </si>
  <si>
    <t>Calculated: 1 - debt weight</t>
  </si>
  <si>
    <t>Feeds o_Valuation selected WACC; set to 0 to use manual WACC in D54</t>
  </si>
  <si>
    <t>Unlevered (asset) beta</t>
  </si>
  <si>
    <t>Target debt weight D / (D + E)</t>
  </si>
  <si>
    <t>Target debt / equity ratio (D / E)</t>
  </si>
  <si>
    <t>Marginal tax rate (t)</t>
  </si>
  <si>
    <t>Relevered equity beta = Bu x (1 + (1 - t) x D/E)</t>
  </si>
  <si>
    <t>Size / company-specific premium</t>
  </si>
  <si>
    <t>Cost of Equity (CAPM) = Rf + BL x ERP + CRP + premium</t>
  </si>
  <si>
    <t>Pre-tax cost of debt (Kd)</t>
  </si>
  <si>
    <t>After-tax cost of debt = Kd x (1 - t)</t>
  </si>
  <si>
    <t>WACC (CAPM build-up) = E/V x Ke + D/V x Kd x (1 - t)</t>
  </si>
  <si>
    <t>Manual WACC override (i_Inputs)</t>
  </si>
  <si>
    <t>WACC selection switch (1 = build-up, 0 = manual)</t>
  </si>
  <si>
    <t>Selected WACC for DCF</t>
  </si>
  <si>
    <t>Current is 46.2%; opening post-expansion normalization</t>
  </si>
  <si>
    <t>D&amp;A rate p.a, blended</t>
  </si>
  <si>
    <t>Target EV / Sales Multiple</t>
  </si>
  <si>
    <t>Terminal Growth Rate</t>
  </si>
  <si>
    <t>Target EV / EBITDA Multiple</t>
  </si>
  <si>
    <t>Discounted Unlevered FCF</t>
  </si>
  <si>
    <t>Blended pre-money enterprise and equity valuations &amp; IPO pricing analysis</t>
  </si>
  <si>
    <t>Target Price post IPO Discount</t>
  </si>
  <si>
    <t>Matrix showing Pre-Money Implied Share Price at varying EV/ Sales multiples.</t>
  </si>
  <si>
    <t>Discounted Cashflow</t>
  </si>
  <si>
    <t>Confidentiality: Any unauthorized reproduction, distribution, dissemination, or disclosure of these materials to third parties without prior written consent is strictly prohibited.</t>
  </si>
  <si>
    <t>Source: Bolt Technology OÜ Consolidated Annual Report 2024-25 (AS PricewaterhouseCoopers audit)</t>
  </si>
  <si>
    <t>Selection</t>
  </si>
  <si>
    <t>Selected Multiple</t>
  </si>
  <si>
    <t>Dropdown selection for blended valuation</t>
  </si>
  <si>
    <t>Growth Drivers</t>
  </si>
  <si>
    <t>Selected Multiple for Blended Valuation</t>
  </si>
  <si>
    <t>Bolt Technology OÜ|Pre-IPO Equity Valuation Model</t>
  </si>
  <si>
    <t>Section Dividers</t>
  </si>
  <si>
    <t>Benchmark/ Source</t>
  </si>
  <si>
    <t>Manual override - used only when CAPM/WACC switch = 0</t>
  </si>
  <si>
    <t>Placeholder: enter positive value for debt drawdown / negative for repayment</t>
  </si>
  <si>
    <t>Model Roll-Forward and User Manual</t>
  </si>
  <si>
    <t>Model Start Year</t>
  </si>
  <si>
    <t>Forecast Start Year</t>
  </si>
  <si>
    <t>Revenue</t>
  </si>
  <si>
    <t>COGS and Opex</t>
  </si>
  <si>
    <t>Note: To preserve formula architecture and audit integrity, all calculation and output sheets are password-protected. Users should modify assumptions exclusively within sheets located under the INPUT &gt;&gt; section divider.</t>
  </si>
  <si>
    <t>WACC &amp; Terminal Growth</t>
  </si>
  <si>
    <t>Equity Dilution</t>
  </si>
  <si>
    <t>(+/-)%</t>
  </si>
  <si>
    <t>Selected Case</t>
  </si>
  <si>
    <t>Weighted Average Cost of Capital (WACC) - sensitized</t>
  </si>
  <si>
    <t>Terminal Growth Rate (g) - sensitized</t>
  </si>
  <si>
    <t>Define the model start date and forecast start date on the i_Historical tab. Setting these dates dynamically configures the timeline across the entire model.</t>
  </si>
  <si>
    <t xml:space="preserve">Step 1: Set Model Timeline
</t>
  </si>
  <si>
    <t>Step 2: Enter Historical Data</t>
  </si>
  <si>
    <t>Populate actual historical figures in i_Historical. Because the model uses a top-down architecture, historical baselines are required to drive the forecast calculations.</t>
  </si>
  <si>
    <t>Step 3: Configure Forecast Drivers</t>
  </si>
  <si>
    <t>Navigate to the i_Inputs tab and input forward-looking assumptions across Columns D:J.</t>
  </si>
  <si>
    <t>Step 4 (Optional): Adjust Scenarios &amp; Sensitivities</t>
  </si>
  <si>
    <t>Modify scenario toggles and sensitivity deltas (+/-%) within the i_Scenario_Manager tab. The workbook defaults to the Base Case with standard baseline commercial assumptions.</t>
  </si>
  <si>
    <t>Revenue Growth</t>
  </si>
  <si>
    <t>Sensitivity Matrix: Implied IPO Share Price (EUR)</t>
  </si>
  <si>
    <t>Scope</t>
  </si>
  <si>
    <t>Calibrated using audited 2024–2025 historical actuals to drive a multi-year projection period spanning 2026–2028 estimates.</t>
  </si>
  <si>
    <t>Examines downside resilience and operating leverage by stress-testing EBITDA and cash conversion against five configurable operational scenarios.</t>
  </si>
  <si>
    <t>This financial model delivers a top-down operational forecasting and corporate valuation engine designed to evaluate high-volume platform unit economics, Free Cash Flow to Firm (FCFF), and equity valuation for Bolt's pre-IPO assessment.</t>
  </si>
  <si>
    <t>Key Features:</t>
  </si>
  <si>
    <t>Produces a ground-up DCF (using mid-year discounting) paired with market trading multiple benchmarks to determine implied Enterprise Value, equity dilution parameters, and target share value.</t>
  </si>
  <si>
    <t>Disclaimer: This model is a draft prepared for illustrative and analytical purposes only. Forward-looking figures (2026E-2028E), valuation multiples, and implied share prices are based on assumptions and estimates that are inherently uncertain and may differ materially from actual results. Historical figures are extracted from the Bolt Technology OÜ Consolidated Annual Reports 2024-25 and have not been independently verified. Nothing in this model constitutes investment, financial, legal or tax advice, an offer or solicitation to buy or sell any security, or a recommendation regarding any IPO. No output should be relied upon for any investment decision. The author accepts no liability for any loss arising from use of, or reliance on, this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</si>
</sst>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quot;-&quot;"/>
    <numFmt numFmtId="165" formatCode="0.0%"/>
    <numFmt numFmtId="166" formatCode="0.0&quot;x&quot;"/>
    <numFmt numFmtId="167" formatCode="\€#,##0.00"/>
    <numFmt numFmtId="168" formatCode="_(* #,##0_);_(* \(#,##0\);_(* &quot;-&quot;??_);_(@_)"/>
    <numFmt numFmtId="169" formatCode="#,##0;\(#,##0\)"/>
    <numFmt numFmtId="170" formatCode="0.0&quot;x EV/Sales&quot;"/>
    <numFmt numFmtId="171" formatCode="&quot;€&quot;#,##0.00"/>
    <numFmt numFmtId="172" formatCode="&quot;Bull Case (+&quot;0%&quot; vs 2026E)&quot;;&quot;Bear Case (&quot;\-0%&quot; vs 2026E)&quot;;&quot;Base Case (2026E)&quot;"/>
    <numFmt numFmtId="173" formatCode="0.0"/>
    <numFmt numFmtId="174" formatCode="_(* #,##0.0_);_(* \(#,##0.0\);_(* &quot;-&quot;??_);_(@_)"/>
    <numFmt numFmtId="175" formatCode="0.00\x"/>
    <numFmt numFmtId="176" formatCode="[$-409]d\-mmm\-yy;@"/>
    <numFmt numFmtId="177" formatCode="&quot;Case&quot;\ General"/>
  </numFmts>
  <fonts count="50" x14ac:knownFonts="1">
    <font>
      <sz val="11"/>
      <color theme="1"/>
      <name val="Calibri"/>
      <family val="2"/>
      <scheme val="minor"/>
    </font>
    <font>
      <sz val="12"/>
      <color theme="1"/>
      <name val="Calibri"/>
      <family val="2"/>
      <scheme val="minor"/>
    </font>
    <font>
      <sz val="11"/>
      <color theme="1"/>
      <name val="Calibri"/>
      <family val="2"/>
      <scheme val="minor"/>
    </font>
    <font>
      <u/>
      <sz val="11"/>
      <color theme="10"/>
      <name val="Calibri"/>
      <family val="2"/>
      <scheme val="minor"/>
    </font>
    <font>
      <b/>
      <sz val="12"/>
      <color theme="0"/>
      <name val="Calibri"/>
      <family val="2"/>
      <scheme val="minor"/>
    </font>
    <font>
      <b/>
      <sz val="12"/>
      <color theme="1"/>
      <name val="Calibri"/>
      <family val="2"/>
      <scheme val="minor"/>
    </font>
    <font>
      <sz val="12"/>
      <color theme="1"/>
      <name val="Times New Roman"/>
      <family val="1"/>
    </font>
    <font>
      <b/>
      <sz val="12"/>
      <color rgb="FF1B365D"/>
      <name val="Times New Roman"/>
      <family val="1"/>
    </font>
    <font>
      <sz val="12"/>
      <color rgb="FF000000"/>
      <name val="Times New Roman"/>
      <family val="1"/>
    </font>
    <font>
      <sz val="10"/>
      <color rgb="FF000000"/>
      <name val="Times New Roman"/>
      <family val="1"/>
    </font>
    <font>
      <b/>
      <sz val="12"/>
      <color rgb="FF000000"/>
      <name val="Times New Roman"/>
      <family val="1"/>
    </font>
    <font>
      <b/>
      <i/>
      <sz val="12"/>
      <color rgb="FF000000"/>
      <name val="Times New Roman"/>
      <family val="1"/>
    </font>
    <font>
      <b/>
      <sz val="12"/>
      <color rgb="FFFFFFFF"/>
      <name val="Times New Roman"/>
      <family val="1"/>
    </font>
    <font>
      <i/>
      <sz val="12"/>
      <color theme="1"/>
      <name val="Times New Roman"/>
      <family val="1"/>
    </font>
    <font>
      <b/>
      <u/>
      <sz val="12"/>
      <color theme="0"/>
      <name val="Times New Roman"/>
      <family val="1"/>
    </font>
    <font>
      <b/>
      <sz val="12"/>
      <color rgb="FF002060"/>
      <name val="Times New Roman"/>
      <family val="1"/>
    </font>
    <font>
      <sz val="12"/>
      <color rgb="FF002060"/>
      <name val="Times New Roman"/>
      <family val="1"/>
    </font>
    <font>
      <b/>
      <sz val="12"/>
      <color theme="1"/>
      <name val="Times New Roman"/>
      <family val="1"/>
    </font>
    <font>
      <b/>
      <sz val="12"/>
      <color theme="0"/>
      <name val="Times New Roman"/>
      <family val="1"/>
    </font>
    <font>
      <b/>
      <sz val="12"/>
      <color rgb="FF375623"/>
      <name val="Times New Roman"/>
      <family val="1"/>
    </font>
    <font>
      <b/>
      <sz val="12"/>
      <color rgb="FF595959"/>
      <name val="Times New Roman"/>
      <family val="1"/>
    </font>
    <font>
      <b/>
      <sz val="12"/>
      <color rgb="FFC00000"/>
      <name val="Times New Roman"/>
      <family val="1"/>
    </font>
    <font>
      <b/>
      <i/>
      <sz val="12"/>
      <color rgb="FF595959"/>
      <name val="Times New Roman"/>
      <family val="1"/>
    </font>
    <font>
      <sz val="12"/>
      <color theme="0"/>
      <name val="Times New Roman"/>
      <family val="1"/>
    </font>
    <font>
      <b/>
      <sz val="16"/>
      <color theme="9" tint="-0.499984740745262"/>
      <name val="Times New Roman"/>
      <family val="1"/>
    </font>
    <font>
      <i/>
      <sz val="12"/>
      <color rgb="FF000000"/>
      <name val="Times New Roman"/>
      <family val="1"/>
    </font>
    <font>
      <i/>
      <sz val="10"/>
      <color rgb="FF000000"/>
      <name val="Times New Roman"/>
      <family val="1"/>
    </font>
    <font>
      <b/>
      <i/>
      <sz val="12"/>
      <color rgb="FFFFFFFF"/>
      <name val="Times New Roman"/>
      <family val="1"/>
    </font>
    <font>
      <b/>
      <i/>
      <sz val="12"/>
      <color theme="1"/>
      <name val="Times New Roman"/>
      <family val="1"/>
    </font>
    <font>
      <b/>
      <i/>
      <sz val="12"/>
      <color rgb="FF002060"/>
      <name val="Times New Roman"/>
      <family val="1"/>
    </font>
    <font>
      <i/>
      <sz val="12"/>
      <color theme="0" tint="-0.499984740745262"/>
      <name val="Times New Roman"/>
      <family val="1"/>
    </font>
    <font>
      <i/>
      <sz val="10"/>
      <color theme="1" tint="0.249977111117893"/>
      <name val="Times New Roman"/>
      <family val="1"/>
    </font>
    <font>
      <i/>
      <sz val="10"/>
      <color theme="1"/>
      <name val="Times New Roman"/>
      <family val="1"/>
    </font>
    <font>
      <sz val="10"/>
      <color theme="1" tint="0.249977111117893"/>
      <name val="Times New Roman"/>
      <family val="1"/>
    </font>
    <font>
      <b/>
      <sz val="12"/>
      <color theme="9" tint="-0.499984740745262"/>
      <name val="Times New Roman"/>
      <family val="1"/>
    </font>
    <font>
      <i/>
      <sz val="12"/>
      <color rgb="FF595959"/>
      <name val="Times New Roman"/>
      <family val="1"/>
    </font>
    <font>
      <b/>
      <i/>
      <sz val="12"/>
      <color theme="0"/>
      <name val="Times New Roman"/>
      <family val="1"/>
    </font>
    <font>
      <sz val="12"/>
      <color theme="0" tint="-0.499984740745262"/>
      <name val="Times New Roman"/>
      <family val="1"/>
    </font>
    <font>
      <b/>
      <sz val="12"/>
      <color rgb="FF1F3864"/>
      <name val="Times New Roman"/>
      <family val="1"/>
    </font>
    <font>
      <i/>
      <sz val="12"/>
      <color rgb="FF7F7F7F"/>
      <name val="Times New Roman"/>
      <family val="1"/>
    </font>
    <font>
      <sz val="12"/>
      <color theme="9" tint="-0.499984740745262"/>
      <name val="Times New Roman"/>
      <family val="1"/>
    </font>
    <font>
      <i/>
      <sz val="12"/>
      <color rgb="FF595959"/>
      <name val="Calibri"/>
      <family val="2"/>
    </font>
    <font>
      <sz val="12"/>
      <color rgb="FF404040"/>
      <name val="Times New Roman"/>
      <family val="1"/>
    </font>
    <font>
      <b/>
      <sz val="16"/>
      <color theme="9" tint="-0.499984740745262"/>
      <name val="Calibri"/>
      <family val="2"/>
    </font>
    <font>
      <b/>
      <sz val="12"/>
      <color theme="9" tint="0.79998168889431442"/>
      <name val="Times New Roman"/>
      <family val="1"/>
    </font>
    <font>
      <i/>
      <sz val="12"/>
      <color theme="9" tint="0.79998168889431442"/>
      <name val="Times New Roman"/>
      <family val="1"/>
    </font>
    <font>
      <b/>
      <sz val="12"/>
      <color rgb="FFFEEAD9"/>
      <name val="Times New Roman"/>
      <family val="1"/>
    </font>
    <font>
      <b/>
      <i/>
      <sz val="12"/>
      <color rgb="FFFEEAD9"/>
      <name val="Times New Roman"/>
      <family val="1"/>
    </font>
    <font>
      <b/>
      <u/>
      <sz val="12"/>
      <color theme="1"/>
      <name val="Times New Roman"/>
      <family val="1"/>
    </font>
    <font>
      <sz val="8"/>
      <name val="Calibri"/>
      <family val="2"/>
      <scheme val="minor"/>
    </font>
  </fonts>
  <fills count="16">
    <fill>
      <patternFill patternType="none"/>
    </fill>
    <fill>
      <patternFill patternType="gray125"/>
    </fill>
    <fill>
      <patternFill patternType="solid">
        <fgColor rgb="FFFFFBE6"/>
        <bgColor rgb="FFFFFBE6"/>
      </patternFill>
    </fill>
    <fill>
      <patternFill patternType="lightDown">
        <bgColor theme="0" tint="-4.9989318521683403E-2"/>
      </patternFill>
    </fill>
    <fill>
      <patternFill patternType="solid">
        <fgColor theme="9"/>
        <bgColor indexed="64"/>
      </patternFill>
    </fill>
    <fill>
      <patternFill patternType="solid">
        <fgColor rgb="FFFFFBE6"/>
        <bgColor indexed="64"/>
      </patternFill>
    </fill>
    <fill>
      <patternFill patternType="solid">
        <fgColor theme="1"/>
        <bgColor indexed="64"/>
      </patternFill>
    </fill>
    <fill>
      <patternFill patternType="solid">
        <fgColor theme="9" tint="0.79998168889431442"/>
        <bgColor indexed="64"/>
      </patternFill>
    </fill>
    <fill>
      <patternFill patternType="solid">
        <fgColor theme="9"/>
        <bgColor rgb="FF1B365D"/>
      </patternFill>
    </fill>
    <fill>
      <patternFill patternType="solid">
        <fgColor theme="9" tint="0.79998168889431442"/>
        <bgColor rgb="FFE2EFDA"/>
      </patternFill>
    </fill>
    <fill>
      <patternFill patternType="solid">
        <fgColor theme="9" tint="-0.499984740745262"/>
        <bgColor indexed="64"/>
      </patternFill>
    </fill>
    <fill>
      <patternFill patternType="solid">
        <fgColor theme="9" tint="-0.499984740745262"/>
        <bgColor rgb="FF1B365D"/>
      </patternFill>
    </fill>
    <fill>
      <patternFill patternType="solid">
        <fgColor theme="1" tint="0.249977111117893"/>
        <bgColor indexed="64"/>
      </patternFill>
    </fill>
    <fill>
      <patternFill patternType="solid">
        <fgColor theme="1" tint="0.249977111117893"/>
        <bgColor rgb="FFE8EEF5"/>
      </patternFill>
    </fill>
    <fill>
      <patternFill patternType="solid">
        <fgColor theme="0" tint="-4.9989318521683403E-2"/>
        <bgColor indexed="64"/>
      </patternFill>
    </fill>
    <fill>
      <patternFill patternType="solid">
        <fgColor theme="9" tint="-0.499984740745262"/>
        <bgColor rgb="FFE2EFDA"/>
      </patternFill>
    </fill>
  </fills>
  <borders count="26">
    <border>
      <left/>
      <right/>
      <top/>
      <bottom/>
      <diagonal/>
    </border>
    <border>
      <left style="thin">
        <color rgb="FFD9D9D9"/>
      </left>
      <right style="thin">
        <color rgb="FFD9D9D9"/>
      </right>
      <top style="thin">
        <color rgb="FFD9D9D9"/>
      </top>
      <bottom style="thin">
        <color rgb="FFD9D9D9"/>
      </bottom>
      <diagonal/>
    </border>
    <border>
      <left/>
      <right/>
      <top style="thin">
        <color indexed="64"/>
      </top>
      <bottom style="double">
        <color indexed="64"/>
      </bottom>
      <diagonal/>
    </border>
    <border>
      <left/>
      <right/>
      <top style="thin">
        <color indexed="64"/>
      </top>
      <bottom/>
      <diagonal/>
    </border>
    <border>
      <left/>
      <right style="thin">
        <color rgb="FFD9D9D9"/>
      </right>
      <top style="thin">
        <color rgb="FFD9D9D9"/>
      </top>
      <bottom style="thin">
        <color rgb="FFD9D9D9"/>
      </bottom>
      <diagonal/>
    </border>
    <border>
      <left/>
      <right style="thin">
        <color theme="0" tint="-0.14999847407452621"/>
      </right>
      <top/>
      <bottom/>
      <diagonal/>
    </border>
    <border>
      <left/>
      <right/>
      <top style="thin">
        <color theme="1"/>
      </top>
      <bottom/>
      <diagonal/>
    </border>
    <border>
      <left/>
      <right/>
      <top style="thin">
        <color theme="1"/>
      </top>
      <bottom style="double">
        <color theme="1"/>
      </bottom>
      <diagonal/>
    </border>
    <border>
      <left/>
      <right/>
      <top style="thin">
        <color theme="1"/>
      </top>
      <bottom style="thin">
        <color theme="1"/>
      </bottom>
      <diagonal/>
    </border>
    <border>
      <left/>
      <right/>
      <top/>
      <bottom style="double">
        <color theme="1"/>
      </bottom>
      <diagonal/>
    </border>
    <border>
      <left/>
      <right/>
      <top/>
      <bottom style="thin">
        <color rgb="FFD9D9D9"/>
      </bottom>
      <diagonal/>
    </border>
    <border>
      <left/>
      <right/>
      <top style="thin">
        <color rgb="FFD9D9D9"/>
      </top>
      <bottom style="thin">
        <color rgb="FFD9D9D9"/>
      </bottom>
      <diagonal/>
    </border>
    <border>
      <left style="thick">
        <color rgb="FFFFFFFF"/>
      </left>
      <right style="thick">
        <color rgb="FFFFFFFF"/>
      </right>
      <top style="thick">
        <color rgb="FFFFFFFF"/>
      </top>
      <bottom/>
      <diagonal/>
    </border>
    <border>
      <left style="thick">
        <color rgb="FFFFFFFF"/>
      </left>
      <right style="thick">
        <color rgb="FFFFFFFF"/>
      </right>
      <top/>
      <bottom style="thick">
        <color rgb="FFFFFFFF"/>
      </bottom>
      <diagonal/>
    </border>
    <border>
      <left/>
      <right/>
      <top style="thin">
        <color rgb="FFD9D9D9"/>
      </top>
      <bottom style="thin">
        <color rgb="FF1F3864"/>
      </bottom>
      <diagonal/>
    </border>
    <border>
      <left/>
      <right/>
      <top/>
      <bottom style="thin">
        <color rgb="FFFFFFFF"/>
      </bottom>
      <diagonal/>
    </border>
    <border>
      <left/>
      <right/>
      <top style="thin">
        <color rgb="FFFFFFFF"/>
      </top>
      <bottom style="thin">
        <color rgb="FFFFFFFF"/>
      </bottom>
      <diagonal/>
    </border>
    <border>
      <left/>
      <right/>
      <top style="thin">
        <color rgb="FFFFFFFF"/>
      </top>
      <bottom/>
      <diagonal/>
    </border>
    <border>
      <left/>
      <right/>
      <top/>
      <bottom style="thin">
        <color indexed="64"/>
      </bottom>
      <diagonal/>
    </border>
    <border>
      <left/>
      <right style="thick">
        <color rgb="FFFFFFFF"/>
      </right>
      <top/>
      <bottom style="thick">
        <color rgb="FFFFFFFF"/>
      </bottom>
      <diagonal/>
    </border>
    <border>
      <left/>
      <right style="thick">
        <color rgb="FFFFFFFF"/>
      </right>
      <top style="thick">
        <color rgb="FFFFFFFF"/>
      </top>
      <bottom/>
      <diagonal/>
    </border>
    <border>
      <left/>
      <right/>
      <top style="thin">
        <color indexed="64"/>
      </top>
      <bottom style="medium">
        <color indexed="64"/>
      </bottom>
      <diagonal/>
    </border>
    <border>
      <left/>
      <right/>
      <top/>
      <bottom style="medium">
        <color indexed="64"/>
      </bottom>
      <diagonal/>
    </border>
    <border>
      <left style="dotted">
        <color indexed="64"/>
      </left>
      <right style="dotted">
        <color indexed="64"/>
      </right>
      <top style="dotted">
        <color indexed="64"/>
      </top>
      <bottom style="dotted">
        <color indexed="64"/>
      </bottom>
      <diagonal/>
    </border>
    <border>
      <left style="dotted">
        <color theme="9" tint="-0.249977111117893"/>
      </left>
      <right style="dotted">
        <color theme="9" tint="-0.249977111117893"/>
      </right>
      <top style="dotted">
        <color theme="9" tint="-0.249977111117893"/>
      </top>
      <bottom style="dotted">
        <color theme="9" tint="-0.249977111117893"/>
      </bottom>
      <diagonal/>
    </border>
    <border>
      <left style="dotted">
        <color theme="0" tint="-0.249977111117893"/>
      </left>
      <right style="dotted">
        <color theme="0" tint="-0.249977111117893"/>
      </right>
      <top style="dotted">
        <color theme="0" tint="-0.249977111117893"/>
      </top>
      <bottom style="dotted">
        <color theme="0" tint="-0.249977111117893"/>
      </bottom>
      <diagonal/>
    </border>
  </borders>
  <cellStyleXfs count="4">
    <xf numFmtId="0" fontId="0" fillId="0" borderId="0"/>
    <xf numFmtId="43"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cellStyleXfs>
  <cellXfs count="246">
    <xf numFmtId="0" fontId="0" fillId="0" borderId="0" xfId="0"/>
    <xf numFmtId="0" fontId="6" fillId="0" borderId="0" xfId="0" applyFont="1"/>
    <xf numFmtId="0" fontId="7" fillId="0" borderId="0" xfId="0" applyFont="1"/>
    <xf numFmtId="0" fontId="8" fillId="0" borderId="0" xfId="0" applyFont="1" applyAlignment="1">
      <alignment horizontal="left" vertical="center"/>
    </xf>
    <xf numFmtId="0" fontId="10" fillId="0" borderId="3" xfId="0" applyFont="1" applyBorder="1" applyAlignment="1">
      <alignment horizontal="left" vertical="center"/>
    </xf>
    <xf numFmtId="0" fontId="10" fillId="0" borderId="6" xfId="0" applyFont="1" applyBorder="1" applyAlignment="1">
      <alignment horizontal="left" vertical="center"/>
    </xf>
    <xf numFmtId="0" fontId="10" fillId="0" borderId="2" xfId="0" applyFont="1" applyBorder="1" applyAlignment="1">
      <alignment horizontal="left" vertical="center"/>
    </xf>
    <xf numFmtId="0" fontId="10" fillId="0" borderId="8" xfId="0" applyFont="1" applyBorder="1" applyAlignment="1">
      <alignment horizontal="left" vertical="center"/>
    </xf>
    <xf numFmtId="0" fontId="10" fillId="0" borderId="7" xfId="0" applyFont="1" applyBorder="1" applyAlignment="1">
      <alignment horizontal="left" vertical="center"/>
    </xf>
    <xf numFmtId="0" fontId="11" fillId="0" borderId="0" xfId="0" applyFont="1" applyAlignment="1">
      <alignment horizontal="left" vertical="center"/>
    </xf>
    <xf numFmtId="0" fontId="10" fillId="0" borderId="0" xfId="0" applyFont="1" applyAlignment="1">
      <alignment horizontal="left" vertical="center"/>
    </xf>
    <xf numFmtId="0" fontId="13" fillId="4" borderId="0" xfId="0" applyFont="1" applyFill="1"/>
    <xf numFmtId="0" fontId="14" fillId="4" borderId="0" xfId="3" applyFont="1" applyFill="1"/>
    <xf numFmtId="0" fontId="6" fillId="4" borderId="0" xfId="0" applyFont="1" applyFill="1"/>
    <xf numFmtId="0" fontId="8" fillId="0" borderId="0" xfId="0" applyFont="1" applyAlignment="1">
      <alignment horizontal="center" vertical="center"/>
    </xf>
    <xf numFmtId="164" fontId="15" fillId="2" borderId="0" xfId="0" applyNumberFormat="1" applyFont="1" applyFill="1" applyAlignment="1">
      <alignment horizontal="right" vertical="center"/>
    </xf>
    <xf numFmtId="164" fontId="15" fillId="0" borderId="0" xfId="0" applyNumberFormat="1" applyFont="1" applyAlignment="1">
      <alignment horizontal="right" vertical="center"/>
    </xf>
    <xf numFmtId="168" fontId="8" fillId="0" borderId="0" xfId="1" applyNumberFormat="1" applyFont="1" applyBorder="1" applyAlignment="1">
      <alignment horizontal="right" vertical="center"/>
    </xf>
    <xf numFmtId="165" fontId="8" fillId="0" borderId="0" xfId="0" applyNumberFormat="1" applyFont="1" applyAlignment="1">
      <alignment horizontal="right" vertical="center"/>
    </xf>
    <xf numFmtId="0" fontId="10" fillId="0" borderId="3" xfId="0" applyFont="1" applyBorder="1" applyAlignment="1">
      <alignment horizontal="center" vertical="center"/>
    </xf>
    <xf numFmtId="164" fontId="15" fillId="2" borderId="6" xfId="0" applyNumberFormat="1" applyFont="1" applyFill="1" applyBorder="1" applyAlignment="1">
      <alignment horizontal="right" vertical="center"/>
    </xf>
    <xf numFmtId="168" fontId="10" fillId="0" borderId="3" xfId="1" applyNumberFormat="1" applyFont="1" applyBorder="1" applyAlignment="1">
      <alignment horizontal="right" vertical="center"/>
    </xf>
    <xf numFmtId="165" fontId="10" fillId="0" borderId="3" xfId="0" applyNumberFormat="1" applyFont="1" applyBorder="1" applyAlignment="1">
      <alignment horizontal="right" vertical="center"/>
    </xf>
    <xf numFmtId="0" fontId="10" fillId="0" borderId="6" xfId="0" applyFont="1" applyBorder="1" applyAlignment="1">
      <alignment horizontal="center" vertical="center"/>
    </xf>
    <xf numFmtId="168" fontId="10" fillId="0" borderId="6" xfId="1" applyNumberFormat="1" applyFont="1" applyBorder="1" applyAlignment="1">
      <alignment horizontal="right" vertical="center"/>
    </xf>
    <xf numFmtId="165" fontId="10" fillId="0" borderId="6" xfId="0" applyNumberFormat="1" applyFont="1" applyBorder="1" applyAlignment="1">
      <alignment horizontal="right" vertical="center"/>
    </xf>
    <xf numFmtId="10" fontId="8" fillId="0" borderId="0" xfId="2" applyNumberFormat="1" applyFont="1" applyBorder="1" applyAlignment="1">
      <alignment horizontal="center" vertical="center"/>
    </xf>
    <xf numFmtId="0" fontId="10" fillId="0" borderId="2" xfId="0" applyFont="1" applyBorder="1" applyAlignment="1">
      <alignment horizontal="center" vertical="center"/>
    </xf>
    <xf numFmtId="164" fontId="15" fillId="2" borderId="7" xfId="0" applyNumberFormat="1" applyFont="1" applyFill="1" applyBorder="1" applyAlignment="1">
      <alignment horizontal="right" vertical="center"/>
    </xf>
    <xf numFmtId="168" fontId="10" fillId="0" borderId="2" xfId="1" applyNumberFormat="1" applyFont="1" applyBorder="1" applyAlignment="1">
      <alignment horizontal="right" vertical="center"/>
    </xf>
    <xf numFmtId="165" fontId="10" fillId="0" borderId="2" xfId="0" applyNumberFormat="1" applyFont="1" applyBorder="1" applyAlignment="1">
      <alignment horizontal="right" vertical="center"/>
    </xf>
    <xf numFmtId="9" fontId="6" fillId="0" borderId="0" xfId="2" applyFont="1"/>
    <xf numFmtId="9" fontId="6" fillId="0" borderId="0" xfId="2" applyFont="1" applyBorder="1"/>
    <xf numFmtId="168" fontId="8" fillId="0" borderId="0" xfId="1" applyNumberFormat="1" applyFont="1" applyFill="1" applyBorder="1" applyAlignment="1">
      <alignment horizontal="right" vertical="center"/>
    </xf>
    <xf numFmtId="164" fontId="16" fillId="2" borderId="0" xfId="0" applyNumberFormat="1" applyFont="1" applyFill="1" applyAlignment="1">
      <alignment horizontal="right" vertical="center"/>
    </xf>
    <xf numFmtId="0" fontId="10" fillId="0" borderId="8" xfId="0" applyFont="1" applyBorder="1" applyAlignment="1">
      <alignment horizontal="center" vertical="center"/>
    </xf>
    <xf numFmtId="164" fontId="15" fillId="2" borderId="8" xfId="0" applyNumberFormat="1" applyFont="1" applyFill="1" applyBorder="1" applyAlignment="1">
      <alignment horizontal="right" vertical="center"/>
    </xf>
    <xf numFmtId="168" fontId="10" fillId="0" borderId="8" xfId="1" applyNumberFormat="1" applyFont="1" applyBorder="1" applyAlignment="1">
      <alignment horizontal="right" vertical="center"/>
    </xf>
    <xf numFmtId="165" fontId="10" fillId="0" borderId="8" xfId="0" applyNumberFormat="1" applyFont="1" applyBorder="1" applyAlignment="1">
      <alignment horizontal="right" vertical="center"/>
    </xf>
    <xf numFmtId="0" fontId="10" fillId="0" borderId="7" xfId="0" applyFont="1" applyBorder="1" applyAlignment="1">
      <alignment horizontal="center" vertical="center"/>
    </xf>
    <xf numFmtId="164" fontId="15" fillId="2" borderId="9" xfId="0" applyNumberFormat="1" applyFont="1" applyFill="1" applyBorder="1" applyAlignment="1">
      <alignment horizontal="right" vertical="center"/>
    </xf>
    <xf numFmtId="168" fontId="10" fillId="0" borderId="7" xfId="1" applyNumberFormat="1" applyFont="1" applyBorder="1" applyAlignment="1">
      <alignment horizontal="right" vertical="center"/>
    </xf>
    <xf numFmtId="165" fontId="10" fillId="0" borderId="7" xfId="0" applyNumberFormat="1" applyFont="1" applyBorder="1" applyAlignment="1">
      <alignment horizontal="right" vertical="center"/>
    </xf>
    <xf numFmtId="0" fontId="11" fillId="0" borderId="0" xfId="0" applyFont="1" applyAlignment="1">
      <alignment horizontal="center" vertical="center"/>
    </xf>
    <xf numFmtId="43" fontId="11" fillId="0" borderId="0" xfId="1" applyFont="1" applyBorder="1" applyAlignment="1">
      <alignment horizontal="center" vertical="center"/>
    </xf>
    <xf numFmtId="43" fontId="11" fillId="0" borderId="0" xfId="1" applyFont="1" applyFill="1" applyBorder="1" applyAlignment="1">
      <alignment horizontal="center" vertical="center"/>
    </xf>
    <xf numFmtId="165" fontId="11" fillId="0" borderId="0" xfId="0" applyNumberFormat="1" applyFont="1" applyAlignment="1">
      <alignment horizontal="right" vertical="center"/>
    </xf>
    <xf numFmtId="0" fontId="10" fillId="0" borderId="0" xfId="0" applyFont="1" applyAlignment="1">
      <alignment horizontal="center" vertical="center"/>
    </xf>
    <xf numFmtId="165" fontId="10" fillId="0" borderId="0" xfId="0" applyNumberFormat="1" applyFont="1" applyAlignment="1">
      <alignment horizontal="right" vertical="center"/>
    </xf>
    <xf numFmtId="168" fontId="6" fillId="0" borderId="0" xfId="1" applyNumberFormat="1" applyFont="1" applyFill="1"/>
    <xf numFmtId="164" fontId="16" fillId="0" borderId="0" xfId="0" applyNumberFormat="1" applyFont="1" applyAlignment="1">
      <alignment horizontal="right" vertical="center"/>
    </xf>
    <xf numFmtId="0" fontId="17" fillId="0" borderId="0" xfId="0" applyFont="1"/>
    <xf numFmtId="0" fontId="18" fillId="0" borderId="0" xfId="0" applyFont="1"/>
    <xf numFmtId="164" fontId="20" fillId="0" borderId="0" xfId="0" applyNumberFormat="1" applyFont="1" applyAlignment="1">
      <alignment horizontal="center" vertical="center"/>
    </xf>
    <xf numFmtId="0" fontId="21" fillId="0" borderId="0" xfId="0" applyFont="1" applyAlignment="1">
      <alignment vertical="center" indent="1"/>
    </xf>
    <xf numFmtId="164" fontId="21" fillId="0" borderId="0" xfId="0" applyNumberFormat="1" applyFont="1" applyAlignment="1">
      <alignment horizontal="left" vertical="center"/>
    </xf>
    <xf numFmtId="0" fontId="12" fillId="4" borderId="0" xfId="0" applyFont="1" applyFill="1" applyAlignment="1">
      <alignment horizontal="center" vertical="center"/>
    </xf>
    <xf numFmtId="0" fontId="12" fillId="0" borderId="0" xfId="0" applyFont="1" applyAlignment="1">
      <alignment horizontal="left" vertical="center"/>
    </xf>
    <xf numFmtId="0" fontId="12" fillId="0" borderId="0" xfId="0" applyFont="1" applyAlignment="1">
      <alignment horizontal="center" vertical="center"/>
    </xf>
    <xf numFmtId="0" fontId="9" fillId="0" borderId="0" xfId="0" applyFont="1" applyAlignment="1">
      <alignment horizontal="left" vertical="center"/>
    </xf>
    <xf numFmtId="0" fontId="6" fillId="5" borderId="23" xfId="0" applyFont="1" applyFill="1" applyBorder="1" applyAlignment="1">
      <alignment horizontal="left"/>
    </xf>
    <xf numFmtId="168" fontId="10" fillId="0" borderId="6" xfId="1" applyNumberFormat="1" applyFont="1" applyFill="1" applyBorder="1" applyAlignment="1">
      <alignment horizontal="right" vertical="center"/>
    </xf>
    <xf numFmtId="168" fontId="10" fillId="0" borderId="0" xfId="1" applyNumberFormat="1" applyFont="1" applyBorder="1" applyAlignment="1">
      <alignment horizontal="right" vertical="center"/>
    </xf>
    <xf numFmtId="168" fontId="10" fillId="0" borderId="6" xfId="1" applyNumberFormat="1" applyFont="1" applyFill="1" applyBorder="1" applyAlignment="1">
      <alignment horizontal="left" vertical="center"/>
    </xf>
    <xf numFmtId="0" fontId="25" fillId="0" borderId="0" xfId="0" applyFont="1" applyAlignment="1">
      <alignment horizontal="left" vertical="center"/>
    </xf>
    <xf numFmtId="0" fontId="26" fillId="0" borderId="0" xfId="0" applyFont="1" applyAlignment="1">
      <alignment horizontal="left" vertical="center"/>
    </xf>
    <xf numFmtId="0" fontId="17" fillId="0" borderId="7" xfId="0" applyFont="1" applyBorder="1"/>
    <xf numFmtId="0" fontId="6" fillId="6" borderId="0" xfId="0" applyFont="1" applyFill="1"/>
    <xf numFmtId="0" fontId="12" fillId="11" borderId="0" xfId="0" applyFont="1" applyFill="1" applyAlignment="1">
      <alignment horizontal="center" vertical="center"/>
    </xf>
    <xf numFmtId="0" fontId="8" fillId="0" borderId="5" xfId="0" applyFont="1" applyBorder="1" applyAlignment="1">
      <alignment horizontal="center" vertical="center"/>
    </xf>
    <xf numFmtId="165" fontId="15" fillId="2" borderId="4" xfId="0" applyNumberFormat="1" applyFont="1" applyFill="1" applyBorder="1" applyAlignment="1" applyProtection="1">
      <alignment horizontal="right" vertical="center"/>
      <protection locked="0"/>
    </xf>
    <xf numFmtId="0" fontId="6" fillId="3" borderId="0" xfId="0" applyFont="1" applyFill="1"/>
    <xf numFmtId="175" fontId="15" fillId="2" borderId="4" xfId="0" applyNumberFormat="1" applyFont="1" applyFill="1" applyBorder="1" applyAlignment="1" applyProtection="1">
      <alignment horizontal="right" vertical="center"/>
      <protection locked="0"/>
    </xf>
    <xf numFmtId="165" fontId="8" fillId="0" borderId="4" xfId="0" applyNumberFormat="1" applyFont="1" applyBorder="1" applyAlignment="1" applyProtection="1">
      <alignment horizontal="right" vertical="center"/>
      <protection locked="0"/>
    </xf>
    <xf numFmtId="1" fontId="15" fillId="2" borderId="4" xfId="0" applyNumberFormat="1" applyFont="1" applyFill="1" applyBorder="1" applyAlignment="1" applyProtection="1">
      <alignment horizontal="right" vertical="center"/>
      <protection locked="0"/>
    </xf>
    <xf numFmtId="166" fontId="15" fillId="2" borderId="4" xfId="0" applyNumberFormat="1" applyFont="1" applyFill="1" applyBorder="1" applyAlignment="1" applyProtection="1">
      <alignment horizontal="right" vertical="center"/>
      <protection locked="0"/>
    </xf>
    <xf numFmtId="3" fontId="15" fillId="2" borderId="4" xfId="0" applyNumberFormat="1" applyFont="1" applyFill="1" applyBorder="1" applyAlignment="1">
      <alignment horizontal="right" vertical="center"/>
    </xf>
    <xf numFmtId="164" fontId="15" fillId="2" borderId="4" xfId="0" applyNumberFormat="1" applyFont="1" applyFill="1" applyBorder="1" applyAlignment="1" applyProtection="1">
      <alignment horizontal="right" vertical="center"/>
      <protection locked="0"/>
    </xf>
    <xf numFmtId="173" fontId="15" fillId="2" borderId="4" xfId="0" applyNumberFormat="1" applyFont="1" applyFill="1" applyBorder="1" applyAlignment="1" applyProtection="1">
      <alignment horizontal="right" vertical="center"/>
      <protection locked="0"/>
    </xf>
    <xf numFmtId="165" fontId="15" fillId="2" borderId="1" xfId="0" applyNumberFormat="1" applyFont="1" applyFill="1" applyBorder="1" applyAlignment="1" applyProtection="1">
      <alignment horizontal="right" vertical="center"/>
      <protection locked="0"/>
    </xf>
    <xf numFmtId="164" fontId="15" fillId="2" borderId="1" xfId="0" applyNumberFormat="1" applyFont="1" applyFill="1" applyBorder="1" applyAlignment="1" applyProtection="1">
      <alignment horizontal="right" vertical="center"/>
      <protection locked="0"/>
    </xf>
    <xf numFmtId="168" fontId="15" fillId="2" borderId="1" xfId="1" applyNumberFormat="1" applyFont="1" applyFill="1" applyBorder="1" applyAlignment="1" applyProtection="1">
      <alignment horizontal="right" vertical="center"/>
      <protection locked="0"/>
    </xf>
    <xf numFmtId="0" fontId="12" fillId="11" borderId="0" xfId="0" applyFont="1" applyFill="1" applyAlignment="1">
      <alignment horizontal="left" vertical="center"/>
    </xf>
    <xf numFmtId="0" fontId="27" fillId="11" borderId="0" xfId="0" applyFont="1" applyFill="1" applyAlignment="1">
      <alignment horizontal="left" vertical="center"/>
    </xf>
    <xf numFmtId="0" fontId="27" fillId="11" borderId="0" xfId="0" applyFont="1" applyFill="1" applyAlignment="1">
      <alignment horizontal="center" vertical="center"/>
    </xf>
    <xf numFmtId="0" fontId="13" fillId="0" borderId="0" xfId="0" applyFont="1"/>
    <xf numFmtId="0" fontId="25" fillId="0" borderId="0" xfId="0" applyFont="1" applyAlignment="1">
      <alignment horizontal="center" vertical="center"/>
    </xf>
    <xf numFmtId="0" fontId="29" fillId="2" borderId="4" xfId="0" applyFont="1" applyFill="1" applyBorder="1" applyAlignment="1" applyProtection="1">
      <alignment horizontal="right" vertical="center"/>
      <protection locked="0"/>
    </xf>
    <xf numFmtId="0" fontId="13" fillId="12" borderId="0" xfId="0" applyFont="1" applyFill="1"/>
    <xf numFmtId="0" fontId="6" fillId="0" borderId="7" xfId="0" applyFont="1" applyBorder="1"/>
    <xf numFmtId="165" fontId="25" fillId="0" borderId="0" xfId="0" applyNumberFormat="1" applyFont="1" applyAlignment="1">
      <alignment horizontal="right" vertical="center"/>
    </xf>
    <xf numFmtId="168" fontId="10" fillId="0" borderId="7" xfId="1" applyNumberFormat="1" applyFont="1" applyBorder="1" applyAlignment="1">
      <alignment horizontal="left" vertical="center"/>
    </xf>
    <xf numFmtId="168" fontId="10" fillId="0" borderId="7" xfId="1" applyNumberFormat="1" applyFont="1" applyFill="1" applyBorder="1" applyAlignment="1">
      <alignment horizontal="right" vertical="center"/>
    </xf>
    <xf numFmtId="168" fontId="10" fillId="0" borderId="0" xfId="1" applyNumberFormat="1" applyFont="1" applyFill="1" applyBorder="1" applyAlignment="1">
      <alignment horizontal="right" vertical="center"/>
    </xf>
    <xf numFmtId="0" fontId="6" fillId="12" borderId="0" xfId="0" applyFont="1" applyFill="1"/>
    <xf numFmtId="168" fontId="6" fillId="12" borderId="0" xfId="1" applyNumberFormat="1" applyFont="1" applyFill="1"/>
    <xf numFmtId="0" fontId="31" fillId="0" borderId="0" xfId="0" applyFont="1" applyAlignment="1" applyProtection="1">
      <alignment horizontal="left" vertical="center"/>
      <protection locked="0"/>
    </xf>
    <xf numFmtId="0" fontId="32" fillId="0" borderId="0" xfId="0" applyFont="1"/>
    <xf numFmtId="0" fontId="32" fillId="12" borderId="0" xfId="0" applyFont="1" applyFill="1"/>
    <xf numFmtId="0" fontId="31" fillId="0" borderId="0" xfId="0" applyFont="1"/>
    <xf numFmtId="0" fontId="31" fillId="0" borderId="0" xfId="0" applyFont="1" applyAlignment="1">
      <alignment horizontal="left" vertical="center"/>
    </xf>
    <xf numFmtId="0" fontId="26" fillId="0" borderId="0" xfId="0" applyFont="1" applyAlignment="1">
      <alignment horizontal="center" vertical="center"/>
    </xf>
    <xf numFmtId="2" fontId="32" fillId="0" borderId="0" xfId="0" applyNumberFormat="1" applyFont="1"/>
    <xf numFmtId="0" fontId="26" fillId="0" borderId="0" xfId="0" applyFont="1" applyAlignment="1" applyProtection="1">
      <alignment horizontal="left" vertical="center"/>
      <protection locked="0"/>
    </xf>
    <xf numFmtId="0" fontId="33" fillId="0" borderId="0" xfId="0" applyFont="1"/>
    <xf numFmtId="0" fontId="35" fillId="0" borderId="0" xfId="0" applyFont="1" applyAlignment="1">
      <alignment horizontal="left" vertical="top"/>
    </xf>
    <xf numFmtId="0" fontId="23" fillId="12" borderId="0" xfId="0" applyFont="1" applyFill="1"/>
    <xf numFmtId="0" fontId="18" fillId="13" borderId="0" xfId="0" applyFont="1" applyFill="1"/>
    <xf numFmtId="0" fontId="23" fillId="13" borderId="0" xfId="0" applyFont="1" applyFill="1"/>
    <xf numFmtId="0" fontId="18" fillId="12" borderId="0" xfId="0" applyFont="1" applyFill="1"/>
    <xf numFmtId="0" fontId="35" fillId="0" borderId="0" xfId="0" applyFont="1"/>
    <xf numFmtId="168" fontId="6" fillId="0" borderId="0" xfId="0" applyNumberFormat="1" applyFont="1"/>
    <xf numFmtId="0" fontId="6" fillId="0" borderId="6" xfId="0" applyFont="1" applyBorder="1"/>
    <xf numFmtId="0" fontId="28" fillId="0" borderId="0" xfId="0" applyFont="1"/>
    <xf numFmtId="0" fontId="17" fillId="0" borderId="6" xfId="0" applyFont="1" applyBorder="1"/>
    <xf numFmtId="0" fontId="27" fillId="4" borderId="0" xfId="0" applyFont="1" applyFill="1" applyAlignment="1">
      <alignment horizontal="center" vertical="center"/>
    </xf>
    <xf numFmtId="0" fontId="36" fillId="12" borderId="0" xfId="0" applyFont="1" applyFill="1" applyAlignment="1">
      <alignment horizontal="center"/>
    </xf>
    <xf numFmtId="0" fontId="27" fillId="0" borderId="0" xfId="0" applyFont="1" applyAlignment="1">
      <alignment horizontal="center" vertical="center"/>
    </xf>
    <xf numFmtId="165" fontId="8" fillId="5" borderId="23" xfId="2" applyNumberFormat="1" applyFont="1" applyFill="1" applyBorder="1" applyAlignment="1">
      <alignment horizontal="right" vertical="center"/>
    </xf>
    <xf numFmtId="175" fontId="8" fillId="5" borderId="23" xfId="2" applyNumberFormat="1" applyFont="1" applyFill="1" applyBorder="1" applyAlignment="1">
      <alignment horizontal="right" vertical="center"/>
    </xf>
    <xf numFmtId="175" fontId="8" fillId="0" borderId="0" xfId="2" applyNumberFormat="1" applyFont="1" applyBorder="1" applyAlignment="1">
      <alignment horizontal="right" vertical="center"/>
    </xf>
    <xf numFmtId="165" fontId="8" fillId="0" borderId="0" xfId="2" applyNumberFormat="1" applyFont="1" applyBorder="1" applyAlignment="1">
      <alignment horizontal="right" vertical="center"/>
    </xf>
    <xf numFmtId="0" fontId="10" fillId="0" borderId="21" xfId="0" applyFont="1" applyBorder="1" applyAlignment="1">
      <alignment horizontal="left" vertical="center"/>
    </xf>
    <xf numFmtId="0" fontId="11" fillId="0" borderId="21" xfId="0" applyFont="1" applyBorder="1" applyAlignment="1">
      <alignment horizontal="center" vertical="center"/>
    </xf>
    <xf numFmtId="165" fontId="10" fillId="0" borderId="21" xfId="2" applyNumberFormat="1" applyFont="1" applyFill="1" applyBorder="1" applyAlignment="1">
      <alignment horizontal="right" vertical="center"/>
    </xf>
    <xf numFmtId="165" fontId="10" fillId="0" borderId="0" xfId="2" applyNumberFormat="1" applyFont="1" applyBorder="1" applyAlignment="1">
      <alignment horizontal="right" vertical="center"/>
    </xf>
    <xf numFmtId="0" fontId="37" fillId="0" borderId="0" xfId="0" applyFont="1" applyAlignment="1">
      <alignment horizontal="left" vertical="center"/>
    </xf>
    <xf numFmtId="0" fontId="30" fillId="0" borderId="0" xfId="0" applyFont="1" applyAlignment="1">
      <alignment horizontal="center" vertical="center"/>
    </xf>
    <xf numFmtId="1" fontId="37" fillId="0" borderId="0" xfId="2" applyNumberFormat="1" applyFont="1" applyBorder="1" applyAlignment="1">
      <alignment horizontal="right" vertical="center"/>
    </xf>
    <xf numFmtId="174" fontId="8" fillId="5" borderId="23" xfId="1" applyNumberFormat="1" applyFont="1" applyFill="1" applyBorder="1" applyAlignment="1">
      <alignment horizontal="right" vertical="center"/>
    </xf>
    <xf numFmtId="173" fontId="8" fillId="0" borderId="0" xfId="0" applyNumberFormat="1" applyFont="1" applyAlignment="1">
      <alignment horizontal="right" vertical="center"/>
    </xf>
    <xf numFmtId="0" fontId="10" fillId="0" borderId="22" xfId="0" applyFont="1" applyBorder="1" applyAlignment="1">
      <alignment horizontal="left" vertical="center"/>
    </xf>
    <xf numFmtId="0" fontId="11" fillId="0" borderId="22" xfId="0" applyFont="1" applyBorder="1" applyAlignment="1">
      <alignment horizontal="center" vertical="center"/>
    </xf>
    <xf numFmtId="173" fontId="10" fillId="0" borderId="22" xfId="0" applyNumberFormat="1" applyFont="1" applyBorder="1" applyAlignment="1">
      <alignment horizontal="right" vertical="center"/>
    </xf>
    <xf numFmtId="0" fontId="17" fillId="0" borderId="22" xfId="0" applyFont="1" applyBorder="1" applyAlignment="1">
      <alignment horizontal="right" vertical="center"/>
    </xf>
    <xf numFmtId="17" fontId="25" fillId="0" borderId="0" xfId="0" applyNumberFormat="1" applyFont="1" applyAlignment="1">
      <alignment horizontal="center" vertical="center"/>
    </xf>
    <xf numFmtId="174" fontId="8" fillId="0" borderId="0" xfId="1" applyNumberFormat="1" applyFont="1" applyBorder="1" applyAlignment="1">
      <alignment horizontal="right" vertical="center"/>
    </xf>
    <xf numFmtId="0" fontId="11" fillId="0" borderId="2" xfId="0" applyFont="1" applyBorder="1" applyAlignment="1">
      <alignment horizontal="center" vertical="center"/>
    </xf>
    <xf numFmtId="0" fontId="17" fillId="0" borderId="2" xfId="0" applyFont="1" applyBorder="1"/>
    <xf numFmtId="164" fontId="8" fillId="0" borderId="0" xfId="0" applyNumberFormat="1" applyFont="1" applyAlignment="1">
      <alignment horizontal="right" vertical="center"/>
    </xf>
    <xf numFmtId="169" fontId="8" fillId="0" borderId="0" xfId="0" applyNumberFormat="1" applyFont="1" applyAlignment="1">
      <alignment horizontal="right" vertical="center"/>
    </xf>
    <xf numFmtId="3" fontId="8" fillId="0" borderId="0" xfId="0" applyNumberFormat="1" applyFont="1" applyAlignment="1">
      <alignment horizontal="right" vertical="center"/>
    </xf>
    <xf numFmtId="166" fontId="37" fillId="0" borderId="0" xfId="0" applyNumberFormat="1" applyFont="1" applyAlignment="1">
      <alignment horizontal="right" vertical="center"/>
    </xf>
    <xf numFmtId="0" fontId="11" fillId="0" borderId="6" xfId="0" applyFont="1" applyBorder="1" applyAlignment="1">
      <alignment horizontal="center" vertical="center"/>
    </xf>
    <xf numFmtId="164" fontId="10" fillId="0" borderId="6" xfId="0" applyNumberFormat="1" applyFont="1" applyBorder="1" applyAlignment="1">
      <alignment horizontal="right" vertical="center"/>
    </xf>
    <xf numFmtId="0" fontId="13" fillId="0" borderId="0" xfId="0" applyFont="1" applyAlignment="1">
      <alignment horizontal="center"/>
    </xf>
    <xf numFmtId="9" fontId="6" fillId="5" borderId="23" xfId="2" applyFont="1" applyFill="1" applyBorder="1"/>
    <xf numFmtId="167" fontId="8" fillId="0" borderId="0" xfId="0" applyNumberFormat="1" applyFont="1" applyAlignment="1">
      <alignment horizontal="right" vertical="center"/>
    </xf>
    <xf numFmtId="172" fontId="10" fillId="0" borderId="24" xfId="0" applyNumberFormat="1" applyFont="1" applyBorder="1" applyAlignment="1">
      <alignment horizontal="left" vertical="center"/>
    </xf>
    <xf numFmtId="0" fontId="28" fillId="0" borderId="24" xfId="0" applyFont="1" applyBorder="1" applyAlignment="1">
      <alignment horizontal="center"/>
    </xf>
    <xf numFmtId="171" fontId="8" fillId="0" borderId="24" xfId="0" applyNumberFormat="1" applyFont="1" applyBorder="1" applyAlignment="1">
      <alignment horizontal="right" vertical="center"/>
    </xf>
    <xf numFmtId="171" fontId="10" fillId="9" borderId="24" xfId="0" applyNumberFormat="1" applyFont="1" applyFill="1" applyBorder="1" applyAlignment="1">
      <alignment horizontal="right" vertical="center"/>
    </xf>
    <xf numFmtId="0" fontId="38" fillId="0" borderId="0" xfId="0" applyFont="1"/>
    <xf numFmtId="0" fontId="39" fillId="0" borderId="0" xfId="0" applyFont="1"/>
    <xf numFmtId="0" fontId="17" fillId="0" borderId="20" xfId="0" applyFont="1" applyBorder="1" applyAlignment="1">
      <alignment horizontal="center" vertical="center" wrapText="1"/>
    </xf>
    <xf numFmtId="0" fontId="17" fillId="0" borderId="12" xfId="0" applyFont="1" applyBorder="1" applyAlignment="1">
      <alignment horizontal="center" vertical="center" wrapText="1"/>
    </xf>
    <xf numFmtId="167" fontId="34" fillId="0" borderId="24" xfId="0" applyNumberFormat="1" applyFont="1" applyBorder="1" applyAlignment="1">
      <alignment horizontal="center" vertical="center"/>
    </xf>
    <xf numFmtId="167" fontId="38" fillId="0" borderId="19" xfId="0" applyNumberFormat="1" applyFont="1" applyBorder="1" applyAlignment="1">
      <alignment horizontal="center"/>
    </xf>
    <xf numFmtId="167" fontId="38" fillId="0" borderId="13" xfId="0" applyNumberFormat="1" applyFont="1" applyBorder="1" applyAlignment="1">
      <alignment horizontal="center"/>
    </xf>
    <xf numFmtId="167" fontId="17" fillId="0" borderId="0" xfId="0" applyNumberFormat="1" applyFont="1" applyAlignment="1">
      <alignment horizontal="center"/>
    </xf>
    <xf numFmtId="3" fontId="17" fillId="0" borderId="0" xfId="0" applyNumberFormat="1" applyFont="1" applyAlignment="1">
      <alignment horizontal="center"/>
    </xf>
    <xf numFmtId="3" fontId="34" fillId="0" borderId="24" xfId="0" applyNumberFormat="1" applyFont="1" applyBorder="1" applyAlignment="1">
      <alignment horizontal="center" vertical="center"/>
    </xf>
    <xf numFmtId="167" fontId="38" fillId="0" borderId="0" xfId="0" applyNumberFormat="1" applyFont="1" applyAlignment="1">
      <alignment horizontal="center"/>
    </xf>
    <xf numFmtId="3" fontId="38" fillId="0" borderId="0" xfId="0" applyNumberFormat="1" applyFont="1" applyAlignment="1">
      <alignment horizontal="center"/>
    </xf>
    <xf numFmtId="0" fontId="34" fillId="0" borderId="10" xfId="0" applyFont="1" applyBorder="1" applyAlignment="1">
      <alignment indent="1"/>
    </xf>
    <xf numFmtId="3" fontId="34" fillId="0" borderId="10" xfId="0" applyNumberFormat="1" applyFont="1" applyBorder="1" applyAlignment="1">
      <alignment horizontal="right"/>
    </xf>
    <xf numFmtId="0" fontId="22" fillId="0" borderId="11" xfId="0" applyFont="1" applyBorder="1" applyAlignment="1">
      <alignment indent="1"/>
    </xf>
    <xf numFmtId="165" fontId="22" fillId="0" borderId="11" xfId="0" applyNumberFormat="1" applyFont="1" applyBorder="1" applyAlignment="1">
      <alignment horizontal="right"/>
    </xf>
    <xf numFmtId="0" fontId="34" fillId="0" borderId="11" xfId="0" applyFont="1" applyBorder="1" applyAlignment="1">
      <alignment indent="1"/>
    </xf>
    <xf numFmtId="3" fontId="34" fillId="0" borderId="11" xfId="0" applyNumberFormat="1" applyFont="1" applyBorder="1" applyAlignment="1">
      <alignment horizontal="right"/>
    </xf>
    <xf numFmtId="0" fontId="6" fillId="0" borderId="11" xfId="0" applyFont="1" applyBorder="1" applyAlignment="1">
      <alignment indent="1"/>
    </xf>
    <xf numFmtId="3" fontId="6" fillId="0" borderId="11" xfId="0" applyNumberFormat="1" applyFont="1" applyBorder="1" applyAlignment="1">
      <alignment horizontal="right"/>
    </xf>
    <xf numFmtId="0" fontId="6" fillId="0" borderId="14" xfId="0" applyFont="1" applyBorder="1" applyAlignment="1">
      <alignment indent="1"/>
    </xf>
    <xf numFmtId="3" fontId="6" fillId="0" borderId="14" xfId="0" applyNumberFormat="1" applyFont="1" applyBorder="1" applyAlignment="1">
      <alignment horizontal="right"/>
    </xf>
    <xf numFmtId="0" fontId="40" fillId="0" borderId="15" xfId="0" applyFont="1" applyBorder="1" applyAlignment="1">
      <alignment indent="1"/>
    </xf>
    <xf numFmtId="165" fontId="34" fillId="0" borderId="0" xfId="0" applyNumberFormat="1" applyFont="1" applyAlignment="1">
      <alignment horizontal="right" vertical="center"/>
    </xf>
    <xf numFmtId="0" fontId="40" fillId="0" borderId="16" xfId="0" applyFont="1" applyBorder="1" applyAlignment="1">
      <alignment indent="1"/>
    </xf>
    <xf numFmtId="166" fontId="34" fillId="0" borderId="0" xfId="0" applyNumberFormat="1" applyFont="1" applyAlignment="1">
      <alignment horizontal="right" vertical="center"/>
    </xf>
    <xf numFmtId="0" fontId="40" fillId="0" borderId="17" xfId="0" applyFont="1" applyBorder="1" applyAlignment="1">
      <alignment indent="1"/>
    </xf>
    <xf numFmtId="164" fontId="34" fillId="0" borderId="0" xfId="0" applyNumberFormat="1" applyFont="1" applyAlignment="1">
      <alignment horizontal="right" vertical="center"/>
    </xf>
    <xf numFmtId="169" fontId="34" fillId="0" borderId="16" xfId="0" applyNumberFormat="1" applyFont="1" applyBorder="1" applyAlignment="1">
      <alignment horizontal="right"/>
    </xf>
    <xf numFmtId="3" fontId="34" fillId="0" borderId="16" xfId="0" applyNumberFormat="1" applyFont="1" applyBorder="1" applyAlignment="1">
      <alignment horizontal="right"/>
    </xf>
    <xf numFmtId="0" fontId="1" fillId="0" borderId="0" xfId="0" applyFont="1"/>
    <xf numFmtId="0" fontId="41" fillId="4" borderId="0" xfId="0" applyFont="1" applyFill="1"/>
    <xf numFmtId="0" fontId="1" fillId="4" borderId="0" xfId="0" applyFont="1" applyFill="1"/>
    <xf numFmtId="0" fontId="23" fillId="6" borderId="0" xfId="0" applyFont="1" applyFill="1"/>
    <xf numFmtId="164" fontId="15" fillId="2" borderId="1" xfId="0" applyNumberFormat="1" applyFont="1" applyFill="1" applyBorder="1" applyAlignment="1" applyProtection="1">
      <alignment horizontal="center" vertical="center"/>
      <protection locked="0"/>
    </xf>
    <xf numFmtId="0" fontId="10" fillId="0" borderId="0" xfId="0" applyFont="1" applyAlignment="1">
      <alignment vertical="center" indent="1"/>
    </xf>
    <xf numFmtId="0" fontId="42" fillId="0" borderId="0" xfId="0" applyFont="1" applyAlignment="1">
      <alignment vertical="center" indent="1"/>
    </xf>
    <xf numFmtId="168" fontId="10" fillId="0" borderId="0" xfId="1" applyNumberFormat="1" applyFont="1" applyFill="1" applyBorder="1" applyAlignment="1">
      <alignment horizontal="center" vertical="center"/>
    </xf>
    <xf numFmtId="0" fontId="18" fillId="6" borderId="0" xfId="0" applyFont="1" applyFill="1"/>
    <xf numFmtId="0" fontId="17" fillId="6" borderId="0" xfId="0" applyFont="1" applyFill="1"/>
    <xf numFmtId="0" fontId="43" fillId="0" borderId="0" xfId="0" applyFont="1"/>
    <xf numFmtId="0" fontId="24" fillId="0" borderId="0" xfId="0" applyFont="1"/>
    <xf numFmtId="164" fontId="19" fillId="7" borderId="0" xfId="0" applyNumberFormat="1" applyFont="1" applyFill="1" applyAlignment="1">
      <alignment horizontal="center" vertical="center"/>
    </xf>
    <xf numFmtId="0" fontId="23" fillId="0" borderId="0" xfId="0" applyFont="1"/>
    <xf numFmtId="0" fontId="44" fillId="10" borderId="0" xfId="0" applyFont="1" applyFill="1"/>
    <xf numFmtId="0" fontId="44" fillId="10" borderId="0" xfId="0" applyFont="1" applyFill="1" applyAlignment="1">
      <alignment horizontal="center"/>
    </xf>
    <xf numFmtId="0" fontId="44" fillId="10" borderId="18" xfId="0" applyFont="1" applyFill="1" applyBorder="1"/>
    <xf numFmtId="0" fontId="45" fillId="10" borderId="18" xfId="0" applyFont="1" applyFill="1" applyBorder="1" applyAlignment="1">
      <alignment horizontal="center"/>
    </xf>
    <xf numFmtId="0" fontId="18" fillId="10" borderId="0" xfId="0" applyFont="1" applyFill="1" applyAlignment="1">
      <alignment horizontal="center" vertical="center"/>
    </xf>
    <xf numFmtId="0" fontId="12" fillId="10" borderId="0" xfId="0" applyFont="1" applyFill="1" applyAlignment="1">
      <alignment horizontal="center" vertical="center"/>
    </xf>
    <xf numFmtId="0" fontId="12" fillId="10" borderId="0" xfId="0" applyFont="1" applyFill="1"/>
    <xf numFmtId="3" fontId="34" fillId="14" borderId="10" xfId="0" applyNumberFormat="1" applyFont="1" applyFill="1" applyBorder="1" applyAlignment="1">
      <alignment horizontal="right"/>
    </xf>
    <xf numFmtId="165" fontId="22" fillId="14" borderId="11" xfId="0" applyNumberFormat="1" applyFont="1" applyFill="1" applyBorder="1" applyAlignment="1">
      <alignment horizontal="right"/>
    </xf>
    <xf numFmtId="3" fontId="34" fillId="14" borderId="11" xfId="0" applyNumberFormat="1" applyFont="1" applyFill="1" applyBorder="1" applyAlignment="1">
      <alignment horizontal="right"/>
    </xf>
    <xf numFmtId="3" fontId="6" fillId="14" borderId="11" xfId="0" applyNumberFormat="1" applyFont="1" applyFill="1" applyBorder="1" applyAlignment="1">
      <alignment horizontal="right"/>
    </xf>
    <xf numFmtId="3" fontId="6" fillId="14" borderId="14" xfId="0" applyNumberFormat="1" applyFont="1" applyFill="1" applyBorder="1" applyAlignment="1">
      <alignment horizontal="right"/>
    </xf>
    <xf numFmtId="165" fontId="10" fillId="0" borderId="2" xfId="2" applyNumberFormat="1" applyFont="1" applyFill="1" applyBorder="1" applyAlignment="1">
      <alignment horizontal="right" vertical="center"/>
    </xf>
    <xf numFmtId="0" fontId="10" fillId="7" borderId="6" xfId="0" applyFont="1" applyFill="1" applyBorder="1" applyAlignment="1">
      <alignment horizontal="left" vertical="center"/>
    </xf>
    <xf numFmtId="0" fontId="11" fillId="7" borderId="6" xfId="0" applyFont="1" applyFill="1" applyBorder="1" applyAlignment="1">
      <alignment horizontal="center" vertical="center"/>
    </xf>
    <xf numFmtId="169" fontId="10" fillId="9" borderId="6" xfId="0" applyNumberFormat="1" applyFont="1" applyFill="1" applyBorder="1" applyAlignment="1">
      <alignment horizontal="right" vertical="center"/>
    </xf>
    <xf numFmtId="164" fontId="10" fillId="9" borderId="6" xfId="0" applyNumberFormat="1" applyFont="1" applyFill="1" applyBorder="1" applyAlignment="1">
      <alignment horizontal="right" vertical="center"/>
    </xf>
    <xf numFmtId="167" fontId="10" fillId="9" borderId="6" xfId="0" applyNumberFormat="1" applyFont="1" applyFill="1" applyBorder="1" applyAlignment="1">
      <alignment horizontal="right" vertical="center"/>
    </xf>
    <xf numFmtId="0" fontId="46" fillId="10" borderId="3" xfId="0" applyFont="1" applyFill="1" applyBorder="1" applyAlignment="1">
      <alignment horizontal="left" vertical="center"/>
    </xf>
    <xf numFmtId="0" fontId="47" fillId="10" borderId="3" xfId="0" applyFont="1" applyFill="1" applyBorder="1" applyAlignment="1">
      <alignment horizontal="center" vertical="center"/>
    </xf>
    <xf numFmtId="164" fontId="46" fillId="15" borderId="3" xfId="0" applyNumberFormat="1" applyFont="1" applyFill="1" applyBorder="1" applyAlignment="1">
      <alignment horizontal="right" vertical="center"/>
    </xf>
    <xf numFmtId="0" fontId="46" fillId="10" borderId="22" xfId="0" applyFont="1" applyFill="1" applyBorder="1" applyAlignment="1">
      <alignment horizontal="left" vertical="center"/>
    </xf>
    <xf numFmtId="0" fontId="47" fillId="10" borderId="22" xfId="0" applyFont="1" applyFill="1" applyBorder="1" applyAlignment="1">
      <alignment horizontal="center" vertical="center"/>
    </xf>
    <xf numFmtId="164" fontId="46" fillId="15" borderId="22" xfId="0" applyNumberFormat="1" applyFont="1" applyFill="1" applyBorder="1" applyAlignment="1">
      <alignment horizontal="right" vertical="center"/>
    </xf>
    <xf numFmtId="0" fontId="10" fillId="7" borderId="7" xfId="0" applyFont="1" applyFill="1" applyBorder="1" applyAlignment="1">
      <alignment horizontal="left" vertical="center"/>
    </xf>
    <xf numFmtId="0" fontId="11" fillId="7" borderId="7" xfId="0" applyFont="1" applyFill="1" applyBorder="1" applyAlignment="1">
      <alignment horizontal="center" vertical="center"/>
    </xf>
    <xf numFmtId="168" fontId="10" fillId="7" borderId="2" xfId="1" applyNumberFormat="1" applyFont="1" applyFill="1" applyBorder="1" applyAlignment="1">
      <alignment horizontal="right" vertical="center"/>
    </xf>
    <xf numFmtId="170" fontId="12" fillId="11" borderId="0" xfId="0" applyNumberFormat="1" applyFont="1" applyFill="1" applyAlignment="1">
      <alignment horizontal="center" vertical="center"/>
    </xf>
    <xf numFmtId="0" fontId="48" fillId="0" borderId="0" xfId="3" applyFont="1" applyFill="1"/>
    <xf numFmtId="176" fontId="15" fillId="2" borderId="1" xfId="0" applyNumberFormat="1" applyFont="1" applyFill="1" applyBorder="1" applyAlignment="1" applyProtection="1">
      <alignment horizontal="right" vertical="center"/>
      <protection locked="0"/>
    </xf>
    <xf numFmtId="176" fontId="23" fillId="0" borderId="0" xfId="0" applyNumberFormat="1" applyFont="1" applyAlignment="1">
      <alignment horizontal="center"/>
    </xf>
    <xf numFmtId="0" fontId="1" fillId="0" borderId="0" xfId="0" applyFont="1" applyAlignment="1">
      <alignment horizontal="center"/>
    </xf>
    <xf numFmtId="43" fontId="1" fillId="0" borderId="0" xfId="1" applyFont="1"/>
    <xf numFmtId="177" fontId="4" fillId="10" borderId="0" xfId="0" applyNumberFormat="1" applyFont="1" applyFill="1" applyAlignment="1">
      <alignment horizontal="center"/>
    </xf>
    <xf numFmtId="0" fontId="6" fillId="12" borderId="0" xfId="0" applyFont="1" applyFill="1" applyAlignment="1">
      <alignment horizontal="center"/>
    </xf>
    <xf numFmtId="43" fontId="1" fillId="0" borderId="0" xfId="1" applyFont="1" applyAlignment="1">
      <alignment horizontal="center"/>
    </xf>
    <xf numFmtId="165" fontId="1" fillId="0" borderId="0" xfId="0" applyNumberFormat="1" applyFont="1"/>
    <xf numFmtId="165" fontId="6" fillId="12" borderId="0" xfId="0" applyNumberFormat="1" applyFont="1" applyFill="1"/>
    <xf numFmtId="165" fontId="5" fillId="0" borderId="0" xfId="2" applyNumberFormat="1" applyFont="1" applyAlignment="1">
      <alignment horizontal="center"/>
    </xf>
    <xf numFmtId="165" fontId="17" fillId="12" borderId="0" xfId="2" applyNumberFormat="1" applyFont="1" applyFill="1" applyAlignment="1">
      <alignment horizontal="center"/>
    </xf>
    <xf numFmtId="43" fontId="6" fillId="0" borderId="0" xfId="0" applyNumberFormat="1" applyFont="1"/>
    <xf numFmtId="0" fontId="13" fillId="0" borderId="0" xfId="0" applyFont="1" applyAlignment="1">
      <alignment horizontal="left"/>
    </xf>
    <xf numFmtId="0" fontId="21" fillId="0" borderId="0" xfId="0" applyFont="1" applyAlignment="1">
      <alignment horizontal="left" vertical="center"/>
    </xf>
    <xf numFmtId="0" fontId="17" fillId="0" borderId="0" xfId="0" applyFont="1" applyAlignment="1">
      <alignment vertical="center"/>
    </xf>
    <xf numFmtId="0" fontId="6" fillId="0" borderId="0" xfId="0" applyFont="1" applyAlignment="1">
      <alignment vertical="center" indent="1"/>
    </xf>
    <xf numFmtId="0" fontId="12" fillId="8" borderId="0" xfId="0" applyFont="1" applyFill="1" applyAlignment="1">
      <alignment horizontal="center" vertical="center"/>
    </xf>
    <xf numFmtId="177" fontId="5" fillId="5" borderId="25" xfId="0" applyNumberFormat="1" applyFont="1" applyFill="1" applyBorder="1" applyAlignment="1">
      <alignment horizontal="center"/>
    </xf>
    <xf numFmtId="0" fontId="48" fillId="0" borderId="0" xfId="0" applyFont="1"/>
    <xf numFmtId="0" fontId="6" fillId="0" borderId="0" xfId="0" applyFont="1" applyAlignment="1">
      <alignment horizontal="left" indent="1"/>
    </xf>
    <xf numFmtId="164" fontId="22" fillId="0" borderId="0" xfId="0" applyNumberFormat="1" applyFont="1" applyAlignment="1">
      <alignment horizontal="left" vertical="center" wrapText="1"/>
    </xf>
  </cellXfs>
  <cellStyles count="4">
    <cellStyle name="Comma" xfId="1" builtinId="3"/>
    <cellStyle name="Hyperlink" xfId="3" builtinId="8"/>
    <cellStyle name="Normal" xfId="0" builtinId="0"/>
    <cellStyle name="Percent" xfId="2" builtinId="5"/>
  </cellStyles>
  <dxfs count="17">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ont>
        <color rgb="FF9C0006"/>
      </font>
    </dxf>
    <dxf>
      <fill>
        <patternFill patternType="lightDown"/>
      </fill>
    </dxf>
    <dxf>
      <fill>
        <patternFill patternType="lightDown"/>
      </fill>
    </dxf>
    <dxf>
      <fill>
        <patternFill patternType="lightDown"/>
      </fill>
    </dxf>
    <dxf>
      <fill>
        <patternFill patternType="lightDown"/>
      </fill>
    </dxf>
    <dxf>
      <fill>
        <patternFill patternType="lightDown"/>
      </fill>
    </dxf>
    <dxf>
      <fill>
        <patternFill patternType="lightDown"/>
      </fill>
    </dxf>
    <dxf>
      <fill>
        <patternFill patternType="lightDown"/>
      </fill>
    </dxf>
    <dxf>
      <fill>
        <patternFill patternType="lightDown"/>
      </fill>
    </dxf>
    <dxf>
      <fill>
        <patternFill patternType="lightDown"/>
      </fill>
    </dxf>
  </dxfs>
  <tableStyles count="0" defaultTableStyle="TableStyleMedium9" defaultPivotStyle="PivotStyleLight16"/>
  <colors>
    <mruColors>
      <color rgb="FFFFFBE6"/>
      <color rgb="FFFEEAD9"/>
      <color rgb="FFFFF2E4"/>
      <color rgb="FFFFEFDF"/>
      <color rgb="FFECFFDC"/>
      <color rgb="FF0432FF"/>
      <color rgb="FF0F18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Revenue by segment (EUR '000)</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barChart>
        <c:barDir val="col"/>
        <c:grouping val="stacked"/>
        <c:varyColors val="0"/>
        <c:ser>
          <c:idx val="1"/>
          <c:order val="0"/>
          <c:tx>
            <c:v>Ride-hailing</c:v>
          </c:tx>
          <c:spPr>
            <a:solidFill>
              <a:schemeClr val="accent6">
                <a:tint val="86000"/>
              </a:schemeClr>
            </a:solidFill>
            <a:ln>
              <a:noFill/>
            </a:ln>
            <a:effectLst/>
          </c:spPr>
          <c:invertIfNegative val="0"/>
          <c:cat>
            <c:strRef>
              <c:f>c_FS!$E$4:$I$4</c:f>
              <c:strCache>
                <c:ptCount val="5"/>
                <c:pt idx="0">
                  <c:v>2024A</c:v>
                </c:pt>
                <c:pt idx="1">
                  <c:v>2025A</c:v>
                </c:pt>
                <c:pt idx="2">
                  <c:v>2026E</c:v>
                </c:pt>
                <c:pt idx="3">
                  <c:v>2027E</c:v>
                </c:pt>
                <c:pt idx="4">
                  <c:v>2028E</c:v>
                </c:pt>
              </c:strCache>
            </c:strRef>
          </c:cat>
          <c:val>
            <c:numRef>
              <c:f>c_FS!$E$8:$I$8</c:f>
              <c:numCache>
                <c:formatCode>_(* #,##0_);_(* \(#,##0\);_(* "-"??_);_(@_)</c:formatCode>
                <c:ptCount val="5"/>
                <c:pt idx="0">
                  <c:v>1633907</c:v>
                </c:pt>
                <c:pt idx="1">
                  <c:v>1847432</c:v>
                </c:pt>
                <c:pt idx="2">
                  <c:v>2069123.84</c:v>
                </c:pt>
                <c:pt idx="3">
                  <c:v>2296727.4624000001</c:v>
                </c:pt>
                <c:pt idx="4">
                  <c:v>2526400.2086400003</c:v>
                </c:pt>
              </c:numCache>
            </c:numRef>
          </c:val>
          <c:extLst>
            <c:ext xmlns:c16="http://schemas.microsoft.com/office/drawing/2014/chart" uri="{C3380CC4-5D6E-409C-BE32-E72D297353CC}">
              <c16:uniqueId val="{00000001-B7D4-EE41-BAC5-96AC82C93B54}"/>
            </c:ext>
          </c:extLst>
        </c:ser>
        <c:ser>
          <c:idx val="2"/>
          <c:order val="1"/>
          <c:tx>
            <c:v>Food &amp; goods delivery</c:v>
          </c:tx>
          <c:spPr>
            <a:solidFill>
              <a:schemeClr val="accent6">
                <a:shade val="86000"/>
              </a:schemeClr>
            </a:solidFill>
            <a:ln>
              <a:noFill/>
            </a:ln>
            <a:effectLst/>
          </c:spPr>
          <c:invertIfNegative val="0"/>
          <c:cat>
            <c:strRef>
              <c:f>c_FS!$E$4:$I$4</c:f>
              <c:strCache>
                <c:ptCount val="5"/>
                <c:pt idx="0">
                  <c:v>2024A</c:v>
                </c:pt>
                <c:pt idx="1">
                  <c:v>2025A</c:v>
                </c:pt>
                <c:pt idx="2">
                  <c:v>2026E</c:v>
                </c:pt>
                <c:pt idx="3">
                  <c:v>2027E</c:v>
                </c:pt>
                <c:pt idx="4">
                  <c:v>2028E</c:v>
                </c:pt>
              </c:strCache>
            </c:strRef>
          </c:cat>
          <c:val>
            <c:numRef>
              <c:f>c_FS!$E$9:$I$9</c:f>
              <c:numCache>
                <c:formatCode>_(* #,##0_);_(* \(#,##0\);_(* "-"??_);_(@_)</c:formatCode>
                <c:ptCount val="5"/>
                <c:pt idx="0">
                  <c:v>185469</c:v>
                </c:pt>
                <c:pt idx="1">
                  <c:v>240737</c:v>
                </c:pt>
                <c:pt idx="2">
                  <c:v>284069.65999999997</c:v>
                </c:pt>
                <c:pt idx="3">
                  <c:v>329520.80559999996</c:v>
                </c:pt>
                <c:pt idx="4">
                  <c:v>375653.71838400001</c:v>
                </c:pt>
              </c:numCache>
            </c:numRef>
          </c:val>
          <c:extLst>
            <c:ext xmlns:c16="http://schemas.microsoft.com/office/drawing/2014/chart" uri="{C3380CC4-5D6E-409C-BE32-E72D297353CC}">
              <c16:uniqueId val="{00000002-B7D4-EE41-BAC5-96AC82C93B54}"/>
            </c:ext>
          </c:extLst>
        </c:ser>
        <c:ser>
          <c:idx val="3"/>
          <c:order val="2"/>
          <c:tx>
            <c:v>Rental services</c:v>
          </c:tx>
          <c:spPr>
            <a:solidFill>
              <a:schemeClr val="accent6">
                <a:shade val="58000"/>
              </a:schemeClr>
            </a:solidFill>
            <a:ln>
              <a:noFill/>
            </a:ln>
            <a:effectLst/>
          </c:spPr>
          <c:invertIfNegative val="0"/>
          <c:cat>
            <c:strRef>
              <c:f>c_FS!$E$4:$I$4</c:f>
              <c:strCache>
                <c:ptCount val="5"/>
                <c:pt idx="0">
                  <c:v>2024A</c:v>
                </c:pt>
                <c:pt idx="1">
                  <c:v>2025A</c:v>
                </c:pt>
                <c:pt idx="2">
                  <c:v>2026E</c:v>
                </c:pt>
                <c:pt idx="3">
                  <c:v>2027E</c:v>
                </c:pt>
                <c:pt idx="4">
                  <c:v>2028E</c:v>
                </c:pt>
              </c:strCache>
            </c:strRef>
          </c:cat>
          <c:val>
            <c:numRef>
              <c:f>c_FS!$E$10:$I$10</c:f>
              <c:numCache>
                <c:formatCode>_(* #,##0_);_(* \(#,##0\);_(* "-"??_);_(@_)</c:formatCode>
                <c:ptCount val="5"/>
                <c:pt idx="0">
                  <c:v>172678</c:v>
                </c:pt>
                <c:pt idx="1">
                  <c:v>182685</c:v>
                </c:pt>
                <c:pt idx="2">
                  <c:v>210087.74999999997</c:v>
                </c:pt>
                <c:pt idx="3">
                  <c:v>241600.91249999995</c:v>
                </c:pt>
                <c:pt idx="4">
                  <c:v>270593.02199999994</c:v>
                </c:pt>
              </c:numCache>
            </c:numRef>
          </c:val>
          <c:extLst>
            <c:ext xmlns:c16="http://schemas.microsoft.com/office/drawing/2014/chart" uri="{C3380CC4-5D6E-409C-BE32-E72D297353CC}">
              <c16:uniqueId val="{00000003-B7D4-EE41-BAC5-96AC82C93B54}"/>
            </c:ext>
          </c:extLst>
        </c:ser>
        <c:dLbls>
          <c:showLegendKey val="0"/>
          <c:showVal val="0"/>
          <c:showCatName val="0"/>
          <c:showSerName val="0"/>
          <c:showPercent val="0"/>
          <c:showBubbleSize val="0"/>
        </c:dLbls>
        <c:gapWidth val="50"/>
        <c:overlap val="100"/>
        <c:axId val="2001206304"/>
        <c:axId val="873168128"/>
      </c:barChart>
      <c:catAx>
        <c:axId val="200120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168128"/>
        <c:crosses val="autoZero"/>
        <c:auto val="1"/>
        <c:lblAlgn val="ctr"/>
        <c:lblOffset val="100"/>
        <c:noMultiLvlLbl val="0"/>
      </c:catAx>
      <c:valAx>
        <c:axId val="87316812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206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Implied share price by valuation methodology (EUR / share)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lotArea>
      <c:layout/>
      <c:barChart>
        <c:barDir val="col"/>
        <c:grouping val="clustered"/>
        <c:varyColors val="0"/>
        <c:ser>
          <c:idx val="1"/>
          <c:order val="0"/>
          <c:tx>
            <c:v>DCF</c:v>
          </c:tx>
          <c:spPr>
            <a:solidFill>
              <a:schemeClr val="accent6">
                <a:tint val="7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o_Valuation!$D$53</c:f>
              <c:numCache>
                <c:formatCode>\€#,##0.00</c:formatCode>
                <c:ptCount val="1"/>
                <c:pt idx="0">
                  <c:v>95.802672018961204</c:v>
                </c:pt>
              </c:numCache>
            </c:numRef>
          </c:val>
          <c:extLst>
            <c:ext xmlns:c16="http://schemas.microsoft.com/office/drawing/2014/chart" uri="{C3380CC4-5D6E-409C-BE32-E72D297353CC}">
              <c16:uniqueId val="{00000001-7EA7-4B44-BCB2-B5CC07B27189}"/>
            </c:ext>
          </c:extLst>
        </c:ser>
        <c:ser>
          <c:idx val="2"/>
          <c:order val="1"/>
          <c:tx>
            <c:v>EV / Sales</c:v>
          </c:tx>
          <c:spPr>
            <a:solidFill>
              <a:schemeClr val="accent6">
                <a:tint val="9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o_Valuation!$D$61</c:f>
              <c:numCache>
                <c:formatCode>\€#,##0.00</c:formatCode>
                <c:ptCount val="1"/>
                <c:pt idx="0">
                  <c:v>213.22989863241841</c:v>
                </c:pt>
              </c:numCache>
            </c:numRef>
          </c:val>
          <c:extLst>
            <c:ext xmlns:c16="http://schemas.microsoft.com/office/drawing/2014/chart" uri="{C3380CC4-5D6E-409C-BE32-E72D297353CC}">
              <c16:uniqueId val="{00000002-7EA7-4B44-BCB2-B5CC07B27189}"/>
            </c:ext>
          </c:extLst>
        </c:ser>
        <c:ser>
          <c:idx val="3"/>
          <c:order val="2"/>
          <c:tx>
            <c:v>EV / EBITDA</c:v>
          </c:tx>
          <c:spPr>
            <a:solidFill>
              <a:schemeClr val="accent6">
                <a:shade val="9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o_Valuation!$D$67</c:f>
              <c:numCache>
                <c:formatCode>\€#,##0.00</c:formatCode>
                <c:ptCount val="1"/>
                <c:pt idx="0">
                  <c:v>67.286563590942578</c:v>
                </c:pt>
              </c:numCache>
            </c:numRef>
          </c:val>
          <c:extLst>
            <c:ext xmlns:c16="http://schemas.microsoft.com/office/drawing/2014/chart" uri="{C3380CC4-5D6E-409C-BE32-E72D297353CC}">
              <c16:uniqueId val="{00000003-7EA7-4B44-BCB2-B5CC07B27189}"/>
            </c:ext>
          </c:extLst>
        </c:ser>
        <c:ser>
          <c:idx val="4"/>
          <c:order val="3"/>
          <c:tx>
            <c:v>Blended pre-money</c:v>
          </c:tx>
          <c:spPr>
            <a:solidFill>
              <a:schemeClr val="accent6">
                <a:shade val="7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o_Valuation!$D$80</c:f>
              <c:numCache>
                <c:formatCode>\€#,##0.00</c:formatCode>
                <c:ptCount val="1"/>
                <c:pt idx="0">
                  <c:v>154.51628532568981</c:v>
                </c:pt>
              </c:numCache>
            </c:numRef>
          </c:val>
          <c:extLst>
            <c:ext xmlns:c16="http://schemas.microsoft.com/office/drawing/2014/chart" uri="{C3380CC4-5D6E-409C-BE32-E72D297353CC}">
              <c16:uniqueId val="{00000004-7EA7-4B44-BCB2-B5CC07B27189}"/>
            </c:ext>
          </c:extLst>
        </c:ser>
        <c:ser>
          <c:idx val="5"/>
          <c:order val="4"/>
          <c:tx>
            <c:v>IPO price (post-discount)</c:v>
          </c:tx>
          <c:spPr>
            <a:solidFill>
              <a:schemeClr val="accent6">
                <a:shade val="5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o_Valuation!$D$81</c:f>
              <c:numCache>
                <c:formatCode>\€#,##0.00</c:formatCode>
                <c:ptCount val="1"/>
                <c:pt idx="0">
                  <c:v>143.70014535289152</c:v>
                </c:pt>
              </c:numCache>
            </c:numRef>
          </c:val>
          <c:extLst>
            <c:ext xmlns:c16="http://schemas.microsoft.com/office/drawing/2014/chart" uri="{C3380CC4-5D6E-409C-BE32-E72D297353CC}">
              <c16:uniqueId val="{00000005-7EA7-4B44-BCB2-B5CC07B27189}"/>
            </c:ext>
          </c:extLst>
        </c:ser>
        <c:dLbls>
          <c:showLegendKey val="0"/>
          <c:showVal val="0"/>
          <c:showCatName val="0"/>
          <c:showSerName val="0"/>
          <c:showPercent val="0"/>
          <c:showBubbleSize val="0"/>
        </c:dLbls>
        <c:gapWidth val="219"/>
        <c:overlap val="-27"/>
        <c:axId val="196931839"/>
        <c:axId val="196916943"/>
      </c:barChart>
      <c:catAx>
        <c:axId val="196931839"/>
        <c:scaling>
          <c:orientation val="minMax"/>
        </c:scaling>
        <c:delete val="1"/>
        <c:axPos val="b"/>
        <c:majorTickMark val="none"/>
        <c:minorTickMark val="none"/>
        <c:tickLblPos val="nextTo"/>
        <c:crossAx val="196916943"/>
        <c:crosses val="autoZero"/>
        <c:auto val="1"/>
        <c:lblAlgn val="ctr"/>
        <c:lblOffset val="100"/>
        <c:noMultiLvlLbl val="0"/>
      </c:catAx>
      <c:valAx>
        <c:axId val="19691694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31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EBITDA &amp; FCFF vs Net cash (EUR '000)</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lotArea>
      <c:layout/>
      <c:barChart>
        <c:barDir val="col"/>
        <c:grouping val="clustered"/>
        <c:varyColors val="0"/>
        <c:ser>
          <c:idx val="1"/>
          <c:order val="0"/>
          <c:tx>
            <c:v>EBITDA</c:v>
          </c:tx>
          <c:spPr>
            <a:solidFill>
              <a:schemeClr val="accent6">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o_FS!$E$4:$I$4</c:f>
              <c:strCache>
                <c:ptCount val="5"/>
                <c:pt idx="0">
                  <c:v>2024A</c:v>
                </c:pt>
                <c:pt idx="1">
                  <c:v>2025A</c:v>
                </c:pt>
                <c:pt idx="2">
                  <c:v>2026E</c:v>
                </c:pt>
                <c:pt idx="3">
                  <c:v>2027E</c:v>
                </c:pt>
                <c:pt idx="4">
                  <c:v>2028E</c:v>
                </c:pt>
              </c:strCache>
            </c:strRef>
          </c:cat>
          <c:val>
            <c:numRef>
              <c:f>o_FS!$E$20:$I$20</c:f>
              <c:numCache>
                <c:formatCode>_(* #,##0_);_(* \(#,##0\);_(* "-"??_);_(@_)</c:formatCode>
                <c:ptCount val="5"/>
                <c:pt idx="0">
                  <c:v>-30298</c:v>
                </c:pt>
                <c:pt idx="1">
                  <c:v>76672</c:v>
                </c:pt>
                <c:pt idx="2">
                  <c:v>92570.71875</c:v>
                </c:pt>
                <c:pt idx="3">
                  <c:v>183438.2631225001</c:v>
                </c:pt>
                <c:pt idx="4">
                  <c:v>292518.0561768004</c:v>
                </c:pt>
              </c:numCache>
            </c:numRef>
          </c:val>
          <c:extLst>
            <c:ext xmlns:c16="http://schemas.microsoft.com/office/drawing/2014/chart" uri="{C3380CC4-5D6E-409C-BE32-E72D297353CC}">
              <c16:uniqueId val="{00000001-D905-8F43-9650-296BB47C02CD}"/>
            </c:ext>
          </c:extLst>
        </c:ser>
        <c:ser>
          <c:idx val="2"/>
          <c:order val="1"/>
          <c:tx>
            <c:v>Free Cash Flow to Firm</c:v>
          </c:tx>
          <c:spPr>
            <a:solidFill>
              <a:schemeClr val="accent6"/>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o_FS!$E$4:$I$4</c:f>
              <c:strCache>
                <c:ptCount val="5"/>
                <c:pt idx="0">
                  <c:v>2024A</c:v>
                </c:pt>
                <c:pt idx="1">
                  <c:v>2025A</c:v>
                </c:pt>
                <c:pt idx="2">
                  <c:v>2026E</c:v>
                </c:pt>
                <c:pt idx="3">
                  <c:v>2027E</c:v>
                </c:pt>
                <c:pt idx="4">
                  <c:v>2028E</c:v>
                </c:pt>
              </c:strCache>
            </c:strRef>
          </c:cat>
          <c:val>
            <c:numRef>
              <c:f>o_FS!$E$35:$I$35</c:f>
              <c:numCache>
                <c:formatCode>_(* #,##0_);_(* \(#,##0\);_(* "-"??_);_(@_)</c:formatCode>
                <c:ptCount val="5"/>
                <c:pt idx="0">
                  <c:v>-34486.300000000003</c:v>
                </c:pt>
                <c:pt idx="1">
                  <c:v>48622.119999999995</c:v>
                </c:pt>
                <c:pt idx="2">
                  <c:v>39064.744648972614</c:v>
                </c:pt>
                <c:pt idx="3">
                  <c:v>91447.670551303483</c:v>
                </c:pt>
                <c:pt idx="4">
                  <c:v>188373.00718525331</c:v>
                </c:pt>
              </c:numCache>
            </c:numRef>
          </c:val>
          <c:extLst>
            <c:ext xmlns:c16="http://schemas.microsoft.com/office/drawing/2014/chart" uri="{C3380CC4-5D6E-409C-BE32-E72D297353CC}">
              <c16:uniqueId val="{00000002-D905-8F43-9650-296BB47C02CD}"/>
            </c:ext>
          </c:extLst>
        </c:ser>
        <c:dLbls>
          <c:showLegendKey val="0"/>
          <c:showVal val="0"/>
          <c:showCatName val="0"/>
          <c:showSerName val="0"/>
          <c:showPercent val="0"/>
          <c:showBubbleSize val="0"/>
        </c:dLbls>
        <c:gapWidth val="219"/>
        <c:overlap val="-27"/>
        <c:axId val="1844338784"/>
        <c:axId val="1843653440"/>
      </c:barChart>
      <c:lineChart>
        <c:grouping val="standard"/>
        <c:varyColors val="0"/>
        <c:ser>
          <c:idx val="3"/>
          <c:order val="2"/>
          <c:tx>
            <c:v>Closing cash</c:v>
          </c:tx>
          <c:spPr>
            <a:ln w="28575" cap="rnd">
              <a:solidFill>
                <a:schemeClr val="accent6">
                  <a:shade val="76000"/>
                </a:schemeClr>
              </a:solidFill>
              <a:round/>
            </a:ln>
            <a:effectLst/>
          </c:spPr>
          <c:marker>
            <c:symbol val="circle"/>
            <c:size val="6"/>
            <c:spPr>
              <a:solidFill>
                <a:schemeClr val="accent6">
                  <a:shade val="76000"/>
                </a:schemeClr>
              </a:solidFill>
              <a:ln w="9525">
                <a:solidFill>
                  <a:schemeClr val="accent6">
                    <a:shade val="76000"/>
                  </a:schemeClr>
                </a:solidFill>
              </a:ln>
              <a:effectLst/>
            </c:spPr>
          </c:marker>
          <c:cat>
            <c:strRef>
              <c:f>o_FS!$E$4:$I$4</c:f>
              <c:strCache>
                <c:ptCount val="5"/>
                <c:pt idx="0">
                  <c:v>2024A</c:v>
                </c:pt>
                <c:pt idx="1">
                  <c:v>2025A</c:v>
                </c:pt>
                <c:pt idx="2">
                  <c:v>2026E</c:v>
                </c:pt>
                <c:pt idx="3">
                  <c:v>2027E</c:v>
                </c:pt>
                <c:pt idx="4">
                  <c:v>2028E</c:v>
                </c:pt>
              </c:strCache>
            </c:strRef>
          </c:cat>
          <c:val>
            <c:numRef>
              <c:f>o_FS!$E$39:$I$39</c:f>
              <c:numCache>
                <c:formatCode>_(* #,##0_);_(* \(#,##0\);_(* "-"??_);_(@_)</c:formatCode>
                <c:ptCount val="5"/>
                <c:pt idx="0">
                  <c:v>342247</c:v>
                </c:pt>
                <c:pt idx="1">
                  <c:v>357038</c:v>
                </c:pt>
                <c:pt idx="2">
                  <c:v>384660.83190148778</c:v>
                </c:pt>
                <c:pt idx="3">
                  <c:v>465465.84478947567</c:v>
                </c:pt>
                <c:pt idx="4">
                  <c:v>644276.36686017038</c:v>
                </c:pt>
              </c:numCache>
            </c:numRef>
          </c:val>
          <c:smooth val="0"/>
          <c:extLst>
            <c:ext xmlns:c16="http://schemas.microsoft.com/office/drawing/2014/chart" uri="{C3380CC4-5D6E-409C-BE32-E72D297353CC}">
              <c16:uniqueId val="{00000003-D905-8F43-9650-296BB47C02CD}"/>
            </c:ext>
          </c:extLst>
        </c:ser>
        <c:ser>
          <c:idx val="4"/>
          <c:order val="3"/>
          <c:tx>
            <c:v>Net cash / (net debt)</c:v>
          </c:tx>
          <c:spPr>
            <a:ln w="28575" cap="rnd">
              <a:solidFill>
                <a:schemeClr val="accent6">
                  <a:shade val="53000"/>
                </a:schemeClr>
              </a:solidFill>
              <a:round/>
            </a:ln>
            <a:effectLst/>
          </c:spPr>
          <c:marker>
            <c:symbol val="circle"/>
            <c:size val="6"/>
            <c:spPr>
              <a:solidFill>
                <a:schemeClr val="accent6">
                  <a:shade val="53000"/>
                </a:schemeClr>
              </a:solidFill>
              <a:ln w="9525">
                <a:solidFill>
                  <a:schemeClr val="accent6">
                    <a:shade val="53000"/>
                  </a:schemeClr>
                </a:solidFill>
              </a:ln>
              <a:effectLst/>
            </c:spPr>
          </c:marker>
          <c:cat>
            <c:strRef>
              <c:f>o_FS!$E$4:$I$4</c:f>
              <c:strCache>
                <c:ptCount val="5"/>
                <c:pt idx="0">
                  <c:v>2024A</c:v>
                </c:pt>
                <c:pt idx="1">
                  <c:v>2025A</c:v>
                </c:pt>
                <c:pt idx="2">
                  <c:v>2026E</c:v>
                </c:pt>
                <c:pt idx="3">
                  <c:v>2027E</c:v>
                </c:pt>
                <c:pt idx="4">
                  <c:v>2028E</c:v>
                </c:pt>
              </c:strCache>
            </c:strRef>
          </c:cat>
          <c:val>
            <c:numRef>
              <c:f>o_FS!$E$42:$I$42</c:f>
              <c:numCache>
                <c:formatCode>_(* #,##0_);_(* \(#,##0\);_(* "-"??_);_(@_)</c:formatCode>
                <c:ptCount val="5"/>
                <c:pt idx="0">
                  <c:v>104873</c:v>
                </c:pt>
                <c:pt idx="1">
                  <c:v>249474</c:v>
                </c:pt>
                <c:pt idx="2">
                  <c:v>287896.0663009726</c:v>
                </c:pt>
                <c:pt idx="3">
                  <c:v>379736.54060432699</c:v>
                </c:pt>
                <c:pt idx="4">
                  <c:v>570402.45887354994</c:v>
                </c:pt>
              </c:numCache>
            </c:numRef>
          </c:val>
          <c:smooth val="0"/>
          <c:extLst>
            <c:ext xmlns:c16="http://schemas.microsoft.com/office/drawing/2014/chart" uri="{C3380CC4-5D6E-409C-BE32-E72D297353CC}">
              <c16:uniqueId val="{00000004-D905-8F43-9650-296BB47C02CD}"/>
            </c:ext>
          </c:extLst>
        </c:ser>
        <c:dLbls>
          <c:showLegendKey val="0"/>
          <c:showVal val="0"/>
          <c:showCatName val="0"/>
          <c:showSerName val="0"/>
          <c:showPercent val="0"/>
          <c:showBubbleSize val="0"/>
        </c:dLbls>
        <c:marker val="1"/>
        <c:smooth val="0"/>
        <c:axId val="890918960"/>
        <c:axId val="1920877616"/>
      </c:lineChart>
      <c:catAx>
        <c:axId val="184433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653440"/>
        <c:crosses val="autoZero"/>
        <c:auto val="1"/>
        <c:lblAlgn val="ctr"/>
        <c:lblOffset val="100"/>
        <c:noMultiLvlLbl val="0"/>
      </c:catAx>
      <c:valAx>
        <c:axId val="1843653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EBITDA / FCFF</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38784"/>
        <c:crosses val="autoZero"/>
        <c:crossBetween val="between"/>
      </c:valAx>
      <c:valAx>
        <c:axId val="1920877616"/>
        <c:scaling>
          <c:orientation val="minMax"/>
          <c:min val="0"/>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Cash / net cash</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918960"/>
        <c:crosses val="max"/>
        <c:crossBetween val="between"/>
      </c:valAx>
      <c:catAx>
        <c:axId val="890918960"/>
        <c:scaling>
          <c:orientation val="minMax"/>
        </c:scaling>
        <c:delete val="1"/>
        <c:axPos val="b"/>
        <c:numFmt formatCode="General" sourceLinked="1"/>
        <c:majorTickMark val="out"/>
        <c:minorTickMark val="none"/>
        <c:tickLblPos val="nextTo"/>
        <c:crossAx val="19208776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o_FS'!A1"/><Relationship Id="rId3" Type="http://schemas.openxmlformats.org/officeDocument/2006/relationships/hyperlink" Target="#'Output>>'!A1"/><Relationship Id="rId7" Type="http://schemas.openxmlformats.org/officeDocument/2006/relationships/hyperlink" Target="#'o_Valuation'!A1"/><Relationship Id="rId12" Type="http://schemas.openxmlformats.org/officeDocument/2006/relationships/hyperlink" Target="#'i_Historical'!A1"/><Relationship Id="rId2" Type="http://schemas.openxmlformats.org/officeDocument/2006/relationships/hyperlink" Target="#'How To'!A1"/><Relationship Id="rId1" Type="http://schemas.openxmlformats.org/officeDocument/2006/relationships/hyperlink" Target="#'Contents'!A1"/><Relationship Id="rId6" Type="http://schemas.openxmlformats.org/officeDocument/2006/relationships/hyperlink" Target="#'o_Dashboard'!A1"/><Relationship Id="rId11" Type="http://schemas.openxmlformats.org/officeDocument/2006/relationships/hyperlink" Target="#'i_Inputs'!A1"/><Relationship Id="rId5" Type="http://schemas.openxmlformats.org/officeDocument/2006/relationships/hyperlink" Target="#'Input>>'!A1"/><Relationship Id="rId10" Type="http://schemas.openxmlformats.org/officeDocument/2006/relationships/hyperlink" Target="#'i_Scenario_Manager'!A1"/><Relationship Id="rId4" Type="http://schemas.openxmlformats.org/officeDocument/2006/relationships/hyperlink" Target="#'Calcs>>'!A1"/><Relationship Id="rId9" Type="http://schemas.openxmlformats.org/officeDocument/2006/relationships/hyperlink" Target="#'c_FS'!A1"/></Relationships>
</file>

<file path=xl/drawings/_rels/drawing2.xml.rels><?xml version="1.0" encoding="UTF-8" standalone="yes"?>
<Relationships xmlns="http://schemas.openxmlformats.org/package/2006/relationships"><Relationship Id="rId1" Type="http://schemas.openxmlformats.org/officeDocument/2006/relationships/hyperlink" Target="#'Contents'!A1"/></Relationships>
</file>

<file path=xl/drawings/_rels/drawing3.xml.rels><?xml version="1.0" encoding="UTF-8" standalone="yes"?>
<Relationships xmlns="http://schemas.openxmlformats.org/package/2006/relationships"><Relationship Id="rId1" Type="http://schemas.openxmlformats.org/officeDocument/2006/relationships/hyperlink" Target="#'Contents'!A1"/></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Contents'!A1"/></Relationships>
</file>

<file path=xl/drawings/_rels/drawing5.xml.rels><?xml version="1.0" encoding="UTF-8" standalone="yes"?>
<Relationships xmlns="http://schemas.openxmlformats.org/package/2006/relationships"><Relationship Id="rId1" Type="http://schemas.openxmlformats.org/officeDocument/2006/relationships/hyperlink" Target="#'Contents'!A1"/></Relationships>
</file>

<file path=xl/drawings/_rels/drawing6.xml.rels><?xml version="1.0" encoding="UTF-8" standalone="yes"?>
<Relationships xmlns="http://schemas.openxmlformats.org/package/2006/relationships"><Relationship Id="rId1" Type="http://schemas.openxmlformats.org/officeDocument/2006/relationships/hyperlink" Target="#'Contents'!A1"/></Relationships>
</file>

<file path=xl/drawings/_rels/drawing7.xml.rels><?xml version="1.0" encoding="UTF-8" standalone="yes"?>
<Relationships xmlns="http://schemas.openxmlformats.org/package/2006/relationships"><Relationship Id="rId1" Type="http://schemas.openxmlformats.org/officeDocument/2006/relationships/hyperlink" Target="#'Contents'!A1"/></Relationships>
</file>

<file path=xl/drawings/_rels/drawing8.xml.rels><?xml version="1.0" encoding="UTF-8" standalone="yes"?>
<Relationships xmlns="http://schemas.openxmlformats.org/package/2006/relationships"><Relationship Id="rId1" Type="http://schemas.openxmlformats.org/officeDocument/2006/relationships/hyperlink" Target="#'Contents'!A1"/></Relationships>
</file>

<file path=xl/drawings/_rels/drawing9.xml.rels><?xml version="1.0" encoding="UTF-8" standalone="yes"?>
<Relationships xmlns="http://schemas.openxmlformats.org/package/2006/relationships"><Relationship Id="rId1" Type="http://schemas.openxmlformats.org/officeDocument/2006/relationships/hyperlink" Target="#'Contents'!A1"/></Relationships>
</file>

<file path=xl/drawings/_rels/drawing10.xml.rels><?xml version="1.0" encoding="UTF-8" standalone="yes"?>
<Relationships xmlns="http://schemas.openxmlformats.org/package/2006/relationships"><Relationship Id="rId1" Type="http://schemas.openxmlformats.org/officeDocument/2006/relationships/hyperlink" Target="#'Contents'!A1"/></Relationships>
</file>

<file path=xl/drawings/_rels/drawing11.xml.rels><?xml version="1.0" encoding="UTF-8" standalone="yes"?>
<Relationships xmlns="http://schemas.openxmlformats.org/package/2006/relationships"><Relationship Id="rId1" Type="http://schemas.openxmlformats.org/officeDocument/2006/relationships/hyperlink" Target="#'Contents'!A1"/></Relationships>
</file>

<file path=xl/drawings/_rels/drawing12.xml.rels><?xml version="1.0" encoding="UTF-8" standalone="yes"?>
<Relationships xmlns="http://schemas.openxmlformats.org/package/2006/relationships"><Relationship Id="rId1" Type="http://schemas.openxmlformats.org/officeDocument/2006/relationships/hyperlink" Target="#'Contents'!A1"/></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190500</xdr:rowOff>
    </xdr:from>
    <xdr:to>
      <xdr:col>2</xdr:col>
      <xdr:colOff>1231900</xdr:colOff>
      <xdr:row>9</xdr:row>
      <xdr:rowOff>12700</xdr:rowOff>
    </xdr:to>
    <xdr:sp macro="" textlink="">
      <xdr:nvSpPr>
        <xdr:cNvPr id="23" name="Contents">
          <a:hlinkClick xmlns:r="http://schemas.openxmlformats.org/officeDocument/2006/relationships" r:id="rId1"/>
          <a:extLst>
            <a:ext uri="{FF2B5EF4-FFF2-40B4-BE49-F238E27FC236}">
              <a16:creationId xmlns:a16="http://schemas.microsoft.com/office/drawing/2014/main" id="{3EA38E50-0841-534C-9BD0-51F72D69A9C6}"/>
            </a:ext>
          </a:extLst>
        </xdr:cNvPr>
        <xdr:cNvSpPr/>
      </xdr:nvSpPr>
      <xdr:spPr>
        <a:xfrm>
          <a:off x="292100" y="1066800"/>
          <a:ext cx="2870200" cy="838200"/>
        </a:xfrm>
        <a:prstGeom prst="roundRect">
          <a:avLst/>
        </a:prstGeom>
        <a:solidFill>
          <a:srgbClr val="000000"/>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FFFFFF"/>
              </a:solidFill>
              <a:latin typeface="Arial" panose="020B0604020202020204" pitchFamily="34" charset="0"/>
            </a:rPr>
            <a:t>Contents</a:t>
          </a:r>
        </a:p>
      </xdr:txBody>
    </xdr:sp>
    <xdr:clientData/>
  </xdr:twoCellAnchor>
  <xdr:twoCellAnchor>
    <xdr:from>
      <xdr:col>1</xdr:col>
      <xdr:colOff>0</xdr:colOff>
      <xdr:row>9</xdr:row>
      <xdr:rowOff>139700</xdr:rowOff>
    </xdr:from>
    <xdr:to>
      <xdr:col>2</xdr:col>
      <xdr:colOff>1231900</xdr:colOff>
      <xdr:row>13</xdr:row>
      <xdr:rowOff>165100</xdr:rowOff>
    </xdr:to>
    <xdr:sp macro="" textlink="">
      <xdr:nvSpPr>
        <xdr:cNvPr id="24" name="How To">
          <a:hlinkClick xmlns:r="http://schemas.openxmlformats.org/officeDocument/2006/relationships" r:id="rId2"/>
          <a:extLst>
            <a:ext uri="{FF2B5EF4-FFF2-40B4-BE49-F238E27FC236}">
              <a16:creationId xmlns:a16="http://schemas.microsoft.com/office/drawing/2014/main" id="{C7359BEF-4CF7-E64E-9959-94EB5E87BA25}"/>
            </a:ext>
          </a:extLst>
        </xdr:cNvPr>
        <xdr:cNvSpPr/>
      </xdr:nvSpPr>
      <xdr:spPr>
        <a:xfrm>
          <a:off x="292100" y="2032000"/>
          <a:ext cx="2870200" cy="838200"/>
        </a:xfrm>
        <a:prstGeom prst="roundRect">
          <a:avLst/>
        </a:prstGeom>
        <a:solidFill>
          <a:srgbClr val="000000"/>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FFFFFF"/>
              </a:solidFill>
              <a:latin typeface="Arial" panose="020B0604020202020204" pitchFamily="34" charset="0"/>
            </a:rPr>
            <a:t>How To</a:t>
          </a:r>
        </a:p>
        <a:p>
          <a:pPr algn="ctr"/>
          <a:endParaRPr lang="en-US" sz="1000" b="0">
            <a:solidFill>
              <a:srgbClr val="FFFFFF"/>
            </a:solidFill>
            <a:latin typeface="Times New Roman" panose="02020603050405020304" pitchFamily="18" charset="0"/>
            <a:cs typeface="Times New Roman" panose="02020603050405020304" pitchFamily="18" charset="0"/>
          </a:endParaRPr>
        </a:p>
        <a:p>
          <a:pPr algn="ctr"/>
          <a:r>
            <a:rPr lang="en-US" sz="1000" b="0">
              <a:solidFill>
                <a:srgbClr val="FFFFFF"/>
              </a:solidFill>
              <a:latin typeface="Times New Roman" panose="02020603050405020304" pitchFamily="18" charset="0"/>
              <a:cs typeface="Times New Roman" panose="02020603050405020304" pitchFamily="18" charset="0"/>
            </a:rPr>
            <a:t>contains model key and roll-forward user</a:t>
          </a:r>
          <a:r>
            <a:rPr lang="en-US" sz="1000" b="0" baseline="0">
              <a:solidFill>
                <a:srgbClr val="FFFFFF"/>
              </a:solidFill>
              <a:latin typeface="Times New Roman" panose="02020603050405020304" pitchFamily="18" charset="0"/>
              <a:cs typeface="Times New Roman" panose="02020603050405020304" pitchFamily="18" charset="0"/>
            </a:rPr>
            <a:t> manual</a:t>
          </a:r>
          <a:endParaRPr lang="en-US" sz="1000" b="0">
            <a:solidFill>
              <a:srgbClr val="FFFFFF"/>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1392767</xdr:colOff>
      <xdr:row>4</xdr:row>
      <xdr:rowOff>190500</xdr:rowOff>
    </xdr:from>
    <xdr:to>
      <xdr:col>4</xdr:col>
      <xdr:colOff>46567</xdr:colOff>
      <xdr:row>9</xdr:row>
      <xdr:rowOff>12700</xdr:rowOff>
    </xdr:to>
    <xdr:sp macro="" textlink="">
      <xdr:nvSpPr>
        <xdr:cNvPr id="25" name="Output&gt;&gt;">
          <a:hlinkClick xmlns:r="http://schemas.openxmlformats.org/officeDocument/2006/relationships" r:id="rId3"/>
          <a:extLst>
            <a:ext uri="{FF2B5EF4-FFF2-40B4-BE49-F238E27FC236}">
              <a16:creationId xmlns:a16="http://schemas.microsoft.com/office/drawing/2014/main" id="{87387414-D9B0-1F4A-BBF6-521DA5AB26C6}"/>
            </a:ext>
          </a:extLst>
        </xdr:cNvPr>
        <xdr:cNvSpPr/>
      </xdr:nvSpPr>
      <xdr:spPr>
        <a:xfrm>
          <a:off x="3323167" y="1066800"/>
          <a:ext cx="2870200" cy="838200"/>
        </a:xfrm>
        <a:prstGeom prst="roundRect">
          <a:avLst/>
        </a:prstGeom>
        <a:solidFill>
          <a:srgbClr val="000000"/>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FFFFFF"/>
              </a:solidFill>
              <a:latin typeface="Arial" panose="020B0604020202020204" pitchFamily="34" charset="0"/>
            </a:rPr>
            <a:t>Output&gt;&gt;</a:t>
          </a:r>
        </a:p>
      </xdr:txBody>
    </xdr:sp>
    <xdr:clientData/>
  </xdr:twoCellAnchor>
  <xdr:twoCellAnchor>
    <xdr:from>
      <xdr:col>4</xdr:col>
      <xdr:colOff>207434</xdr:colOff>
      <xdr:row>4</xdr:row>
      <xdr:rowOff>190500</xdr:rowOff>
    </xdr:from>
    <xdr:to>
      <xdr:col>7</xdr:col>
      <xdr:colOff>601134</xdr:colOff>
      <xdr:row>9</xdr:row>
      <xdr:rowOff>12700</xdr:rowOff>
    </xdr:to>
    <xdr:sp macro="" textlink="">
      <xdr:nvSpPr>
        <xdr:cNvPr id="26" name="Calcs&gt;&gt;">
          <a:hlinkClick xmlns:r="http://schemas.openxmlformats.org/officeDocument/2006/relationships" r:id="rId4"/>
          <a:extLst>
            <a:ext uri="{FF2B5EF4-FFF2-40B4-BE49-F238E27FC236}">
              <a16:creationId xmlns:a16="http://schemas.microsoft.com/office/drawing/2014/main" id="{0FF67CA1-B509-014C-9417-1560284BA3FE}"/>
            </a:ext>
          </a:extLst>
        </xdr:cNvPr>
        <xdr:cNvSpPr/>
      </xdr:nvSpPr>
      <xdr:spPr>
        <a:xfrm>
          <a:off x="6354234" y="1066800"/>
          <a:ext cx="2870200" cy="838200"/>
        </a:xfrm>
        <a:prstGeom prst="roundRect">
          <a:avLst/>
        </a:prstGeom>
        <a:solidFill>
          <a:srgbClr val="000000"/>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FFFFFF"/>
              </a:solidFill>
              <a:latin typeface="Arial" panose="020B0604020202020204" pitchFamily="34" charset="0"/>
            </a:rPr>
            <a:t>Calcs&gt;&gt;</a:t>
          </a:r>
        </a:p>
      </xdr:txBody>
    </xdr:sp>
    <xdr:clientData/>
  </xdr:twoCellAnchor>
  <xdr:twoCellAnchor>
    <xdr:from>
      <xdr:col>7</xdr:col>
      <xdr:colOff>762000</xdr:colOff>
      <xdr:row>4</xdr:row>
      <xdr:rowOff>190500</xdr:rowOff>
    </xdr:from>
    <xdr:to>
      <xdr:col>11</xdr:col>
      <xdr:colOff>330200</xdr:colOff>
      <xdr:row>9</xdr:row>
      <xdr:rowOff>12700</xdr:rowOff>
    </xdr:to>
    <xdr:sp macro="" textlink="">
      <xdr:nvSpPr>
        <xdr:cNvPr id="27" name="Input&gt;&gt;">
          <a:hlinkClick xmlns:r="http://schemas.openxmlformats.org/officeDocument/2006/relationships" r:id="rId5"/>
          <a:extLst>
            <a:ext uri="{FF2B5EF4-FFF2-40B4-BE49-F238E27FC236}">
              <a16:creationId xmlns:a16="http://schemas.microsoft.com/office/drawing/2014/main" id="{315B7E51-C298-4A41-84BF-254D9C2F3C5D}"/>
            </a:ext>
          </a:extLst>
        </xdr:cNvPr>
        <xdr:cNvSpPr/>
      </xdr:nvSpPr>
      <xdr:spPr>
        <a:xfrm>
          <a:off x="9385300" y="1066800"/>
          <a:ext cx="2870200" cy="838200"/>
        </a:xfrm>
        <a:prstGeom prst="roundRect">
          <a:avLst/>
        </a:prstGeom>
        <a:solidFill>
          <a:srgbClr val="000000"/>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FFFFFF"/>
              </a:solidFill>
              <a:latin typeface="Arial" panose="020B0604020202020204" pitchFamily="34" charset="0"/>
            </a:rPr>
            <a:t>Input&gt;&gt;</a:t>
          </a:r>
        </a:p>
      </xdr:txBody>
    </xdr:sp>
    <xdr:clientData/>
  </xdr:twoCellAnchor>
  <xdr:twoCellAnchor>
    <xdr:from>
      <xdr:col>2</xdr:col>
      <xdr:colOff>1388533</xdr:colOff>
      <xdr:row>9</xdr:row>
      <xdr:rowOff>143933</xdr:rowOff>
    </xdr:from>
    <xdr:to>
      <xdr:col>4</xdr:col>
      <xdr:colOff>42333</xdr:colOff>
      <xdr:row>13</xdr:row>
      <xdr:rowOff>169333</xdr:rowOff>
    </xdr:to>
    <xdr:sp macro="" textlink="">
      <xdr:nvSpPr>
        <xdr:cNvPr id="28" name="o_Dashboard">
          <a:hlinkClick xmlns:r="http://schemas.openxmlformats.org/officeDocument/2006/relationships" r:id="rId6"/>
          <a:extLst>
            <a:ext uri="{FF2B5EF4-FFF2-40B4-BE49-F238E27FC236}">
              <a16:creationId xmlns:a16="http://schemas.microsoft.com/office/drawing/2014/main" id="{C61FD7DB-5174-E848-B618-54A271F7B7F1}"/>
            </a:ext>
          </a:extLst>
        </xdr:cNvPr>
        <xdr:cNvSpPr/>
      </xdr:nvSpPr>
      <xdr:spPr>
        <a:xfrm>
          <a:off x="3318933" y="2036233"/>
          <a:ext cx="2870200" cy="838200"/>
        </a:xfrm>
        <a:prstGeom prst="roundRect">
          <a:avLst/>
        </a:prstGeom>
        <a:solidFill>
          <a:srgbClr val="F79646"/>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000000"/>
              </a:solidFill>
              <a:latin typeface="Arial" panose="020B0604020202020204" pitchFamily="34" charset="0"/>
            </a:rPr>
            <a:t>o_Dashboard</a:t>
          </a:r>
        </a:p>
        <a:p>
          <a:pPr algn="ctr"/>
          <a:endParaRPr lang="en-US" sz="1000" b="1">
            <a:solidFill>
              <a:schemeClr val="tx1"/>
            </a:solidFill>
            <a:latin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000" b="0" baseline="0">
              <a:solidFill>
                <a:schemeClr val="tx1"/>
              </a:solidFill>
              <a:latin typeface="Times New Roman" panose="02020603050405020304" pitchFamily="18" charset="0"/>
              <a:cs typeface="Times New Roman" panose="02020603050405020304" pitchFamily="18" charset="0"/>
            </a:rPr>
            <a:t>comprises </a:t>
          </a:r>
          <a:r>
            <a:rPr lang="en-US" sz="1000" b="0">
              <a:solidFill>
                <a:schemeClr val="tx1"/>
              </a:solidFill>
              <a:latin typeface="Times New Roman" panose="02020603050405020304" pitchFamily="18" charset="0"/>
              <a:cs typeface="Times New Roman" panose="02020603050405020304" pitchFamily="18" charset="0"/>
            </a:rPr>
            <a:t>executive summary and charts</a:t>
          </a:r>
        </a:p>
      </xdr:txBody>
    </xdr:sp>
    <xdr:clientData/>
  </xdr:twoCellAnchor>
  <xdr:twoCellAnchor>
    <xdr:from>
      <xdr:col>2</xdr:col>
      <xdr:colOff>1384300</xdr:colOff>
      <xdr:row>14</xdr:row>
      <xdr:rowOff>97366</xdr:rowOff>
    </xdr:from>
    <xdr:to>
      <xdr:col>4</xdr:col>
      <xdr:colOff>38100</xdr:colOff>
      <xdr:row>18</xdr:row>
      <xdr:rowOff>122766</xdr:rowOff>
    </xdr:to>
    <xdr:sp macro="" textlink="">
      <xdr:nvSpPr>
        <xdr:cNvPr id="29" name="o_Valuation">
          <a:hlinkClick xmlns:r="http://schemas.openxmlformats.org/officeDocument/2006/relationships" r:id="rId7"/>
          <a:extLst>
            <a:ext uri="{FF2B5EF4-FFF2-40B4-BE49-F238E27FC236}">
              <a16:creationId xmlns:a16="http://schemas.microsoft.com/office/drawing/2014/main" id="{8CDA1294-AD59-C749-8814-85D3AF2BC014}"/>
            </a:ext>
          </a:extLst>
        </xdr:cNvPr>
        <xdr:cNvSpPr/>
      </xdr:nvSpPr>
      <xdr:spPr>
        <a:xfrm>
          <a:off x="3314700" y="3005666"/>
          <a:ext cx="2870200" cy="838200"/>
        </a:xfrm>
        <a:prstGeom prst="roundRect">
          <a:avLst/>
        </a:prstGeom>
        <a:solidFill>
          <a:srgbClr val="F79646"/>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000000"/>
              </a:solidFill>
              <a:latin typeface="Arial" panose="020B0604020202020204" pitchFamily="34" charset="0"/>
            </a:rPr>
            <a:t>o_Valuation</a:t>
          </a:r>
        </a:p>
        <a:p>
          <a:pPr algn="ctr"/>
          <a:endParaRPr lang="en-US" sz="1000" b="1">
            <a:solidFill>
              <a:srgbClr val="000000"/>
            </a:solidFill>
            <a:latin typeface="Arial" panose="020B0604020202020204" pitchFamily="34" charset="0"/>
          </a:endParaRPr>
        </a:p>
        <a:p>
          <a:pPr algn="ctr"/>
          <a:r>
            <a:rPr lang="en-US" sz="1000" b="0">
              <a:solidFill>
                <a:schemeClr val="tx1"/>
              </a:solidFill>
              <a:latin typeface="Times New Roman" panose="02020603050405020304" pitchFamily="18" charset="0"/>
              <a:cs typeface="Times New Roman" panose="02020603050405020304" pitchFamily="18" charset="0"/>
            </a:rPr>
            <a:t>produces</a:t>
          </a:r>
          <a:r>
            <a:rPr lang="en-US" sz="1000" b="0" baseline="0">
              <a:solidFill>
                <a:schemeClr val="tx1"/>
              </a:solidFill>
              <a:latin typeface="Times New Roman" panose="02020603050405020304" pitchFamily="18" charset="0"/>
              <a:cs typeface="Times New Roman" panose="02020603050405020304" pitchFamily="18" charset="0"/>
            </a:rPr>
            <a:t> blended enterprise and equity </a:t>
          </a:r>
          <a:r>
            <a:rPr lang="en-US" sz="1000" b="0">
              <a:solidFill>
                <a:schemeClr val="tx1"/>
              </a:solidFill>
              <a:latin typeface="Times New Roman" panose="02020603050405020304" pitchFamily="18" charset="0"/>
              <a:cs typeface="Times New Roman" panose="02020603050405020304" pitchFamily="18" charset="0"/>
            </a:rPr>
            <a:t>valuations</a:t>
          </a:r>
          <a:r>
            <a:rPr lang="en-US" sz="1000" b="0" baseline="0">
              <a:solidFill>
                <a:schemeClr val="tx1"/>
              </a:solidFill>
              <a:latin typeface="Times New Roman" panose="02020603050405020304" pitchFamily="18" charset="0"/>
              <a:cs typeface="Times New Roman" panose="02020603050405020304" pitchFamily="18" charset="0"/>
            </a:rPr>
            <a:t> along with pricing sensitivity matrix </a:t>
          </a:r>
        </a:p>
      </xdr:txBody>
    </xdr:sp>
    <xdr:clientData/>
  </xdr:twoCellAnchor>
  <xdr:twoCellAnchor>
    <xdr:from>
      <xdr:col>2</xdr:col>
      <xdr:colOff>1384300</xdr:colOff>
      <xdr:row>19</xdr:row>
      <xdr:rowOff>50800</xdr:rowOff>
    </xdr:from>
    <xdr:to>
      <xdr:col>4</xdr:col>
      <xdr:colOff>38100</xdr:colOff>
      <xdr:row>23</xdr:row>
      <xdr:rowOff>76200</xdr:rowOff>
    </xdr:to>
    <xdr:sp macro="" textlink="">
      <xdr:nvSpPr>
        <xdr:cNvPr id="30" name="o_FS">
          <a:hlinkClick xmlns:r="http://schemas.openxmlformats.org/officeDocument/2006/relationships" r:id="rId8"/>
          <a:extLst>
            <a:ext uri="{FF2B5EF4-FFF2-40B4-BE49-F238E27FC236}">
              <a16:creationId xmlns:a16="http://schemas.microsoft.com/office/drawing/2014/main" id="{F0617FBD-4289-774B-B140-759E015D77C9}"/>
            </a:ext>
          </a:extLst>
        </xdr:cNvPr>
        <xdr:cNvSpPr/>
      </xdr:nvSpPr>
      <xdr:spPr>
        <a:xfrm>
          <a:off x="3314700" y="3975100"/>
          <a:ext cx="2870200" cy="838200"/>
        </a:xfrm>
        <a:prstGeom prst="roundRect">
          <a:avLst/>
        </a:prstGeom>
        <a:solidFill>
          <a:srgbClr val="F79646"/>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000000"/>
              </a:solidFill>
              <a:latin typeface="Arial" panose="020B0604020202020204" pitchFamily="34" charset="0"/>
            </a:rPr>
            <a:t>o_FS</a:t>
          </a:r>
        </a:p>
        <a:p>
          <a:pPr algn="ctr"/>
          <a:endParaRPr lang="en-US" sz="1000" b="1">
            <a:solidFill>
              <a:schemeClr val="tx1"/>
            </a:solidFill>
            <a:latin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000" b="0">
              <a:solidFill>
                <a:schemeClr val="tx1"/>
              </a:solidFill>
              <a:latin typeface="Times New Roman" panose="02020603050405020304" pitchFamily="18" charset="0"/>
              <a:cs typeface="Times New Roman" panose="02020603050405020304" pitchFamily="18" charset="0"/>
            </a:rPr>
            <a:t>produces income statement, FCFF, cash &amp; net debt profiles</a:t>
          </a:r>
        </a:p>
      </xdr:txBody>
    </xdr:sp>
    <xdr:clientData/>
  </xdr:twoCellAnchor>
  <xdr:twoCellAnchor>
    <xdr:from>
      <xdr:col>4</xdr:col>
      <xdr:colOff>198966</xdr:colOff>
      <xdr:row>9</xdr:row>
      <xdr:rowOff>152400</xdr:rowOff>
    </xdr:from>
    <xdr:to>
      <xdr:col>7</xdr:col>
      <xdr:colOff>592666</xdr:colOff>
      <xdr:row>13</xdr:row>
      <xdr:rowOff>177800</xdr:rowOff>
    </xdr:to>
    <xdr:sp macro="" textlink="">
      <xdr:nvSpPr>
        <xdr:cNvPr id="31" name="c_FS">
          <a:hlinkClick xmlns:r="http://schemas.openxmlformats.org/officeDocument/2006/relationships" r:id="rId9"/>
          <a:extLst>
            <a:ext uri="{FF2B5EF4-FFF2-40B4-BE49-F238E27FC236}">
              <a16:creationId xmlns:a16="http://schemas.microsoft.com/office/drawing/2014/main" id="{2CFC2F54-0510-A740-ABBE-60391C6D8118}"/>
            </a:ext>
          </a:extLst>
        </xdr:cNvPr>
        <xdr:cNvSpPr/>
      </xdr:nvSpPr>
      <xdr:spPr>
        <a:xfrm>
          <a:off x="6345766" y="2044700"/>
          <a:ext cx="2870200" cy="838200"/>
        </a:xfrm>
        <a:prstGeom prst="roundRect">
          <a:avLst/>
        </a:prstGeom>
        <a:solidFill>
          <a:srgbClr val="FABF8F"/>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000000"/>
              </a:solidFill>
              <a:latin typeface="Arial" panose="020B0604020202020204" pitchFamily="34" charset="0"/>
            </a:rPr>
            <a:t>c_FS</a:t>
          </a:r>
        </a:p>
        <a:p>
          <a:pPr algn="ctr"/>
          <a:endParaRPr lang="en-US" sz="1000" b="1">
            <a:solidFill>
              <a:srgbClr val="000000"/>
            </a:solidFill>
            <a:latin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000" b="0">
              <a:solidFill>
                <a:schemeClr val="tx1"/>
              </a:solidFill>
              <a:latin typeface="Times New Roman" panose="02020603050405020304" pitchFamily="18" charset="0"/>
              <a:cs typeface="Times New Roman" panose="02020603050405020304" pitchFamily="18" charset="0"/>
            </a:rPr>
            <a:t>comprises calculation schedules including</a:t>
          </a:r>
          <a:r>
            <a:rPr lang="en-US" sz="1000" b="0" baseline="0">
              <a:solidFill>
                <a:schemeClr val="tx1"/>
              </a:solidFill>
              <a:latin typeface="Times New Roman" panose="02020603050405020304" pitchFamily="18" charset="0"/>
              <a:cs typeface="Times New Roman" panose="02020603050405020304" pitchFamily="18" charset="0"/>
            </a:rPr>
            <a:t> </a:t>
          </a:r>
          <a:r>
            <a:rPr lang="en-US" sz="1000" b="0">
              <a:solidFill>
                <a:schemeClr val="tx1"/>
              </a:solidFill>
              <a:latin typeface="Times New Roman" panose="02020603050405020304" pitchFamily="18" charset="0"/>
              <a:cs typeface="Times New Roman" panose="02020603050405020304" pitchFamily="18" charset="0"/>
            </a:rPr>
            <a:t>revenue, opex, NWC, fixed assets, debt, and leases</a:t>
          </a:r>
        </a:p>
      </xdr:txBody>
    </xdr:sp>
    <xdr:clientData/>
  </xdr:twoCellAnchor>
  <xdr:twoCellAnchor>
    <xdr:from>
      <xdr:col>7</xdr:col>
      <xdr:colOff>749300</xdr:colOff>
      <xdr:row>9</xdr:row>
      <xdr:rowOff>143933</xdr:rowOff>
    </xdr:from>
    <xdr:to>
      <xdr:col>11</xdr:col>
      <xdr:colOff>317500</xdr:colOff>
      <xdr:row>13</xdr:row>
      <xdr:rowOff>169333</xdr:rowOff>
    </xdr:to>
    <xdr:sp macro="" textlink="">
      <xdr:nvSpPr>
        <xdr:cNvPr id="32" name="i_Scenario_Manager">
          <a:hlinkClick xmlns:r="http://schemas.openxmlformats.org/officeDocument/2006/relationships" r:id="rId10"/>
          <a:extLst>
            <a:ext uri="{FF2B5EF4-FFF2-40B4-BE49-F238E27FC236}">
              <a16:creationId xmlns:a16="http://schemas.microsoft.com/office/drawing/2014/main" id="{56FE930E-2A34-5749-8D5B-6001D9B0FCF6}"/>
            </a:ext>
          </a:extLst>
        </xdr:cNvPr>
        <xdr:cNvSpPr/>
      </xdr:nvSpPr>
      <xdr:spPr>
        <a:xfrm>
          <a:off x="9372600" y="2036233"/>
          <a:ext cx="2870200" cy="838200"/>
        </a:xfrm>
        <a:prstGeom prst="roundRect">
          <a:avLst/>
        </a:prstGeom>
        <a:solidFill>
          <a:srgbClr val="FDE9D9"/>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000000"/>
              </a:solidFill>
              <a:latin typeface="Arial" panose="020B0604020202020204" pitchFamily="34" charset="0"/>
            </a:rPr>
            <a:t>i_Scenario_Manager</a:t>
          </a:r>
        </a:p>
        <a:p>
          <a:pPr algn="ctr"/>
          <a:endParaRPr lang="en-US" sz="1000" b="0">
            <a:solidFill>
              <a:srgbClr val="000000"/>
            </a:solidFill>
            <a:latin typeface="Times New Roman" panose="02020603050405020304" pitchFamily="18" charset="0"/>
            <a:cs typeface="Times New Roman" panose="02020603050405020304" pitchFamily="18" charset="0"/>
          </a:endParaRPr>
        </a:p>
        <a:p>
          <a:pPr algn="ctr"/>
          <a:r>
            <a:rPr lang="en-US" sz="1000" b="0">
              <a:solidFill>
                <a:srgbClr val="000000"/>
              </a:solidFill>
              <a:latin typeface="Times New Roman" panose="02020603050405020304" pitchFamily="18" charset="0"/>
              <a:cs typeface="Times New Roman" panose="02020603050405020304" pitchFamily="18" charset="0"/>
            </a:rPr>
            <a:t>contains scenario overlays</a:t>
          </a:r>
          <a:r>
            <a:rPr lang="en-US" sz="1000" b="0" baseline="0">
              <a:solidFill>
                <a:srgbClr val="000000"/>
              </a:solidFill>
              <a:latin typeface="Times New Roman" panose="02020603050405020304" pitchFamily="18" charset="0"/>
              <a:cs typeface="Times New Roman" panose="02020603050405020304" pitchFamily="18" charset="0"/>
            </a:rPr>
            <a:t> used to stress-test free cashflow and valuation outputs</a:t>
          </a:r>
          <a:r>
            <a:rPr lang="en-US" sz="1000" b="0">
              <a:solidFill>
                <a:srgbClr val="000000"/>
              </a:solidFill>
              <a:latin typeface="Times New Roman" panose="02020603050405020304" pitchFamily="18" charset="0"/>
              <a:cs typeface="Times New Roman" panose="02020603050405020304" pitchFamily="18" charset="0"/>
            </a:rPr>
            <a:t> </a:t>
          </a:r>
        </a:p>
      </xdr:txBody>
    </xdr:sp>
    <xdr:clientData/>
  </xdr:twoCellAnchor>
  <xdr:twoCellAnchor>
    <xdr:from>
      <xdr:col>7</xdr:col>
      <xdr:colOff>749300</xdr:colOff>
      <xdr:row>14</xdr:row>
      <xdr:rowOff>97366</xdr:rowOff>
    </xdr:from>
    <xdr:to>
      <xdr:col>11</xdr:col>
      <xdr:colOff>317500</xdr:colOff>
      <xdr:row>18</xdr:row>
      <xdr:rowOff>122766</xdr:rowOff>
    </xdr:to>
    <xdr:sp macro="" textlink="">
      <xdr:nvSpPr>
        <xdr:cNvPr id="33" name="i_Inputs">
          <a:hlinkClick xmlns:r="http://schemas.openxmlformats.org/officeDocument/2006/relationships" r:id="rId11"/>
          <a:extLst>
            <a:ext uri="{FF2B5EF4-FFF2-40B4-BE49-F238E27FC236}">
              <a16:creationId xmlns:a16="http://schemas.microsoft.com/office/drawing/2014/main" id="{EDA4DCD3-A00F-EE43-912F-35AE682D3C29}"/>
            </a:ext>
          </a:extLst>
        </xdr:cNvPr>
        <xdr:cNvSpPr/>
      </xdr:nvSpPr>
      <xdr:spPr>
        <a:xfrm>
          <a:off x="9372600" y="3005666"/>
          <a:ext cx="2870200" cy="838200"/>
        </a:xfrm>
        <a:prstGeom prst="roundRect">
          <a:avLst/>
        </a:prstGeom>
        <a:solidFill>
          <a:srgbClr val="FDE9D9"/>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000000"/>
              </a:solidFill>
              <a:latin typeface="Arial" panose="020B0604020202020204" pitchFamily="34" charset="0"/>
            </a:rPr>
            <a:t>i_Inputs</a:t>
          </a:r>
        </a:p>
        <a:p>
          <a:pPr algn="ctr"/>
          <a:endParaRPr lang="en-US" sz="1000" b="1">
            <a:solidFill>
              <a:srgbClr val="000000"/>
            </a:solidFill>
            <a:latin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000" b="0">
              <a:solidFill>
                <a:srgbClr val="000000"/>
              </a:solidFill>
              <a:latin typeface="Times New Roman" panose="02020603050405020304" pitchFamily="18" charset="0"/>
              <a:cs typeface="Times New Roman" panose="02020603050405020304" pitchFamily="18" charset="0"/>
            </a:rPr>
            <a:t>includes forecast drivers &amp; model</a:t>
          </a:r>
          <a:r>
            <a:rPr lang="en-US" sz="1000" b="0" baseline="0">
              <a:solidFill>
                <a:srgbClr val="000000"/>
              </a:solidFill>
              <a:latin typeface="Times New Roman" panose="02020603050405020304" pitchFamily="18" charset="0"/>
              <a:cs typeface="Times New Roman" panose="02020603050405020304" pitchFamily="18" charset="0"/>
            </a:rPr>
            <a:t> assumptions</a:t>
          </a:r>
          <a:endParaRPr lang="en-US" sz="1000" b="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749300</xdr:colOff>
      <xdr:row>19</xdr:row>
      <xdr:rowOff>50800</xdr:rowOff>
    </xdr:from>
    <xdr:to>
      <xdr:col>11</xdr:col>
      <xdr:colOff>317500</xdr:colOff>
      <xdr:row>23</xdr:row>
      <xdr:rowOff>76200</xdr:rowOff>
    </xdr:to>
    <xdr:sp macro="" textlink="">
      <xdr:nvSpPr>
        <xdr:cNvPr id="34" name="i_Historical">
          <a:hlinkClick xmlns:r="http://schemas.openxmlformats.org/officeDocument/2006/relationships" r:id="rId12"/>
          <a:extLst>
            <a:ext uri="{FF2B5EF4-FFF2-40B4-BE49-F238E27FC236}">
              <a16:creationId xmlns:a16="http://schemas.microsoft.com/office/drawing/2014/main" id="{0380BB58-0459-C041-946A-2D5476EDEDEF}"/>
            </a:ext>
          </a:extLst>
        </xdr:cNvPr>
        <xdr:cNvSpPr/>
      </xdr:nvSpPr>
      <xdr:spPr>
        <a:xfrm>
          <a:off x="9372600" y="3975100"/>
          <a:ext cx="2870200" cy="838200"/>
        </a:xfrm>
        <a:prstGeom prst="roundRect">
          <a:avLst/>
        </a:prstGeom>
        <a:solidFill>
          <a:srgbClr val="FDE9D9"/>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000000"/>
              </a:solidFill>
              <a:latin typeface="Arial" panose="020B0604020202020204" pitchFamily="34" charset="0"/>
            </a:rPr>
            <a:t>i_Historical</a:t>
          </a:r>
        </a:p>
        <a:p>
          <a:pPr algn="ctr"/>
          <a:endParaRPr lang="en-US" sz="1000" b="1">
            <a:solidFill>
              <a:srgbClr val="000000"/>
            </a:solidFill>
            <a:latin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000" b="0">
              <a:solidFill>
                <a:srgbClr val="000000"/>
              </a:solidFill>
              <a:latin typeface="Times New Roman" panose="02020603050405020304" pitchFamily="18" charset="0"/>
              <a:cs typeface="Times New Roman" panose="02020603050405020304" pitchFamily="18" charset="0"/>
            </a:rPr>
            <a:t>includes audited actuals</a:t>
          </a:r>
          <a:r>
            <a:rPr lang="en-US" sz="1000" b="0" baseline="0">
              <a:solidFill>
                <a:srgbClr val="000000"/>
              </a:solidFill>
              <a:latin typeface="Times New Roman" panose="02020603050405020304" pitchFamily="18" charset="0"/>
              <a:cs typeface="Times New Roman" panose="02020603050405020304" pitchFamily="18" charset="0"/>
            </a:rPr>
            <a:t> for FY24-25</a:t>
          </a:r>
          <a:endParaRPr lang="en-US" sz="1000" b="0">
            <a:solidFill>
              <a:srgbClr val="000000"/>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203915</xdr:rowOff>
    </xdr:from>
    <xdr:to>
      <xdr:col>2</xdr:col>
      <xdr:colOff>182450</xdr:colOff>
      <xdr:row>2</xdr:row>
      <xdr:rowOff>190500</xdr:rowOff>
    </xdr:to>
    <xdr:sp macro="" textlink="">
      <xdr:nvSpPr>
        <xdr:cNvPr id="4" name="BackToContentsGDAT">
          <a:hlinkClick xmlns:r="http://schemas.openxmlformats.org/officeDocument/2006/relationships" r:id="rId1"/>
          <a:extLst>
            <a:ext uri="{FF2B5EF4-FFF2-40B4-BE49-F238E27FC236}">
              <a16:creationId xmlns:a16="http://schemas.microsoft.com/office/drawing/2014/main" id="{2791AAE1-4DDE-2746-A8E5-93CC5123C893}"/>
            </a:ext>
          </a:extLst>
        </xdr:cNvPr>
        <xdr:cNvSpPr/>
      </xdr:nvSpPr>
      <xdr:spPr>
        <a:xfrm>
          <a:off x="0" y="457915"/>
          <a:ext cx="1302196" cy="1905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1048575</xdr:row>
      <xdr:rowOff>181356</xdr:rowOff>
    </xdr:from>
    <xdr:to>
      <xdr:col>16384</xdr:col>
      <xdr:colOff>1524000</xdr:colOff>
      <xdr:row>1048576</xdr:row>
      <xdr:rowOff>-9144</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80D1E779-277B-F21D-2573-86401DAFC008}"/>
            </a:ext>
          </a:extLst>
        </xdr:cNvPr>
        <xdr:cNvSpPr/>
      </xdr:nvSpPr>
      <xdr:spPr>
        <a:xfrm>
          <a:off x="0" y="-9144"/>
          <a:ext cx="1524000" cy="1905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129209</xdr:colOff>
      <xdr:row>26</xdr:row>
      <xdr:rowOff>193257</xdr:rowOff>
    </xdr:from>
    <xdr:to>
      <xdr:col>7</xdr:col>
      <xdr:colOff>0</xdr:colOff>
      <xdr:row>41</xdr:row>
      <xdr:rowOff>179456</xdr:rowOff>
    </xdr:to>
    <xdr:graphicFrame macro="">
      <xdr:nvGraphicFramePr>
        <xdr:cNvPr id="6" name="Chart 5">
          <a:extLst>
            <a:ext uri="{FF2B5EF4-FFF2-40B4-BE49-F238E27FC236}">
              <a16:creationId xmlns:a16="http://schemas.microsoft.com/office/drawing/2014/main" id="{B2C1A2D4-5537-85A8-CD8C-F49C8FD9E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146141</xdr:colOff>
      <xdr:row>6</xdr:row>
      <xdr:rowOff>32580</xdr:rowOff>
    </xdr:from>
    <xdr:to>
      <xdr:col>6</xdr:col>
      <xdr:colOff>1449455</xdr:colOff>
      <xdr:row>10</xdr:row>
      <xdr:rowOff>386523</xdr:rowOff>
    </xdr:to>
    <xdr:graphicFrame macro="">
      <xdr:nvGraphicFramePr>
        <xdr:cNvPr id="9" name="Chart 8">
          <a:extLst>
            <a:ext uri="{FF2B5EF4-FFF2-40B4-BE49-F238E27FC236}">
              <a16:creationId xmlns:a16="http://schemas.microsoft.com/office/drawing/2014/main" id="{ECE18FDB-8098-84A3-BEF0-1F24B21D9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138044</xdr:colOff>
      <xdr:row>42</xdr:row>
      <xdr:rowOff>156817</xdr:rowOff>
    </xdr:from>
    <xdr:to>
      <xdr:col>7</xdr:col>
      <xdr:colOff>0</xdr:colOff>
      <xdr:row>62</xdr:row>
      <xdr:rowOff>27609</xdr:rowOff>
    </xdr:to>
    <xdr:graphicFrame macro="">
      <xdr:nvGraphicFramePr>
        <xdr:cNvPr id="10" name="Chart_Combo_CashEBITDA">
          <a:extLst>
            <a:ext uri="{FF2B5EF4-FFF2-40B4-BE49-F238E27FC236}">
              <a16:creationId xmlns:a16="http://schemas.microsoft.com/office/drawing/2014/main" id="{60A37003-B664-7F8F-878D-8CD27A7E3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1409700</xdr:colOff>
      <xdr:row>0</xdr:row>
      <xdr:rowOff>127000</xdr:rowOff>
    </xdr:from>
    <xdr:to>
      <xdr:col>6</xdr:col>
      <xdr:colOff>1406878</xdr:colOff>
      <xdr:row>1</xdr:row>
      <xdr:rowOff>56444</xdr:rowOff>
    </xdr:to>
    <xdr:sp macro="" textlink="">
      <xdr:nvSpPr>
        <xdr:cNvPr id="2" name="BackToContentsGDAT">
          <a:hlinkClick xmlns:r="http://schemas.openxmlformats.org/officeDocument/2006/relationships" r:id="rId4"/>
          <a:extLst>
            <a:ext uri="{FF2B5EF4-FFF2-40B4-BE49-F238E27FC236}">
              <a16:creationId xmlns:a16="http://schemas.microsoft.com/office/drawing/2014/main" id="{64F2BD83-8377-7847-B429-37112F37DE55}"/>
            </a:ext>
          </a:extLst>
        </xdr:cNvPr>
        <xdr:cNvSpPr/>
      </xdr:nvSpPr>
      <xdr:spPr>
        <a:xfrm>
          <a:off x="10426700" y="127000"/>
          <a:ext cx="1521178" cy="196144"/>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7056</xdr:rowOff>
    </xdr:from>
    <xdr:to>
      <xdr:col>1</xdr:col>
      <xdr:colOff>987778</xdr:colOff>
      <xdr:row>3</xdr:row>
      <xdr:rowOff>0</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6699BFC5-58C4-0020-D653-65AF18FC1331}"/>
            </a:ext>
          </a:extLst>
        </xdr:cNvPr>
        <xdr:cNvSpPr/>
      </xdr:nvSpPr>
      <xdr:spPr>
        <a:xfrm>
          <a:off x="0" y="464256"/>
          <a:ext cx="1521178" cy="196144"/>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1143000</xdr:colOff>
      <xdr:row>2</xdr:row>
      <xdr:rowOff>190500</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2415D9F3-1AE6-D272-507D-B26AC25186C6}"/>
            </a:ext>
          </a:extLst>
        </xdr:cNvPr>
        <xdr:cNvSpPr/>
      </xdr:nvSpPr>
      <xdr:spPr>
        <a:xfrm>
          <a:off x="0" y="571500"/>
          <a:ext cx="1524000" cy="1905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-9144</xdr:rowOff>
    </xdr:from>
    <xdr:to>
      <xdr:col>16384</xdr:col>
      <xdr:colOff>1524000</xdr:colOff>
      <xdr:row>1048575</xdr:row>
      <xdr:rowOff>181356</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DDC0F0AA-BEB9-A065-4221-4DABB257C516}"/>
            </a:ext>
          </a:extLst>
        </xdr:cNvPr>
        <xdr:cNvSpPr/>
      </xdr:nvSpPr>
      <xdr:spPr>
        <a:xfrm>
          <a:off x="0" y="-9144"/>
          <a:ext cx="1524000" cy="1905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1104900</xdr:colOff>
      <xdr:row>2</xdr:row>
      <xdr:rowOff>190500</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01C08BE8-65BB-0525-11A1-775E89EA8625}"/>
            </a:ext>
          </a:extLst>
        </xdr:cNvPr>
        <xdr:cNvSpPr/>
      </xdr:nvSpPr>
      <xdr:spPr>
        <a:xfrm>
          <a:off x="0" y="571500"/>
          <a:ext cx="1524000" cy="1905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-9144</xdr:rowOff>
    </xdr:from>
    <xdr:to>
      <xdr:col>16384</xdr:col>
      <xdr:colOff>1524000</xdr:colOff>
      <xdr:row>1048575</xdr:row>
      <xdr:rowOff>181356</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862D1271-DD0D-5B69-0974-94DC521B2930}"/>
            </a:ext>
          </a:extLst>
        </xdr:cNvPr>
        <xdr:cNvSpPr/>
      </xdr:nvSpPr>
      <xdr:spPr>
        <a:xfrm>
          <a:off x="0" y="-9144"/>
          <a:ext cx="1524000" cy="1905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1054100</xdr:colOff>
      <xdr:row>2</xdr:row>
      <xdr:rowOff>190500</xdr:rowOff>
    </xdr:to>
    <xdr:sp macro="" textlink="">
      <xdr:nvSpPr>
        <xdr:cNvPr id="3" name="BackToContentsGDAT">
          <a:hlinkClick xmlns:r="http://schemas.openxmlformats.org/officeDocument/2006/relationships" r:id="rId1"/>
          <a:extLst>
            <a:ext uri="{FF2B5EF4-FFF2-40B4-BE49-F238E27FC236}">
              <a16:creationId xmlns:a16="http://schemas.microsoft.com/office/drawing/2014/main" id="{164A070E-4DF3-A44B-9359-89D9227527EC}"/>
            </a:ext>
          </a:extLst>
        </xdr:cNvPr>
        <xdr:cNvSpPr/>
      </xdr:nvSpPr>
      <xdr:spPr>
        <a:xfrm>
          <a:off x="0" y="457200"/>
          <a:ext cx="1346200" cy="1905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1054100</xdr:colOff>
      <xdr:row>2</xdr:row>
      <xdr:rowOff>190500</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FDA1DC8C-ACD3-13D7-D643-C21F1BC5018F}"/>
            </a:ext>
          </a:extLst>
        </xdr:cNvPr>
        <xdr:cNvSpPr/>
      </xdr:nvSpPr>
      <xdr:spPr>
        <a:xfrm>
          <a:off x="0" y="571500"/>
          <a:ext cx="1524000" cy="1905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1016000</xdr:colOff>
      <xdr:row>3</xdr:row>
      <xdr:rowOff>25400</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77523193-79BA-A8A9-107C-918519F7151D}"/>
            </a:ext>
          </a:extLst>
        </xdr:cNvPr>
        <xdr:cNvSpPr/>
      </xdr:nvSpPr>
      <xdr:spPr>
        <a:xfrm>
          <a:off x="0" y="575733"/>
          <a:ext cx="1397000" cy="2286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1632BAC-D046-AB4A-B6C2-1170523998F5}">
  <we:reference id="wa200005502" version="1.0.0.13" store="en-US" storeType="OMEX"/>
  <we:alternateReferences>
    <we:reference id="wa200005502" version="1.0.0.13" store="wa200005502" storeType="OMEX"/>
  </we:alternateReferences>
  <we:properties>
    <we:property name="docId" value="&quot;eiXBoxDKKS0OJ3wCr-KJ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www.inforegister.ee/en/12417834-BOLT-TECHNOLOGY-O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E54BF-0F64-6F44-99C9-3296C6C48469}">
  <sheetPr>
    <tabColor theme="1"/>
  </sheetPr>
  <dimension ref="A1:Q28"/>
  <sheetViews>
    <sheetView showGridLines="0" tabSelected="1" zoomScaleNormal="100" workbookViewId="0"/>
  </sheetViews>
  <sheetFormatPr baseColWidth="10" defaultRowHeight="16" x14ac:dyDescent="0.2"/>
  <cols>
    <col min="1" max="1" width="3.83203125" style="1" customWidth="1"/>
    <col min="2" max="2" width="21.5" style="1" customWidth="1"/>
    <col min="3" max="3" width="25" style="1" customWidth="1"/>
    <col min="4" max="4" width="30.33203125" style="1" customWidth="1"/>
    <col min="5" max="16384" width="10.83203125" style="1"/>
  </cols>
  <sheetData>
    <row r="1" spans="1:17" ht="21" x14ac:dyDescent="0.25">
      <c r="A1" s="192" t="s">
        <v>300</v>
      </c>
    </row>
    <row r="2" spans="1:17" x14ac:dyDescent="0.2">
      <c r="A2" s="105" t="s">
        <v>294</v>
      </c>
    </row>
    <row r="4" spans="1:17" s="67" customFormat="1" x14ac:dyDescent="0.2">
      <c r="A4" s="191" t="s">
        <v>116</v>
      </c>
      <c r="B4" s="190" t="s">
        <v>117</v>
      </c>
    </row>
    <row r="5" spans="1:17" x14ac:dyDescent="0.2">
      <c r="A5" s="51"/>
      <c r="B5" s="52"/>
    </row>
    <row r="6" spans="1:17" x14ac:dyDescent="0.2">
      <c r="A6" s="51"/>
      <c r="B6" s="52"/>
    </row>
    <row r="7" spans="1:17" x14ac:dyDescent="0.2">
      <c r="A7" s="51"/>
      <c r="B7" s="52"/>
      <c r="F7"/>
      <c r="G7"/>
      <c r="H7"/>
      <c r="I7"/>
      <c r="J7"/>
      <c r="K7"/>
      <c r="L7"/>
      <c r="M7"/>
      <c r="N7"/>
      <c r="O7"/>
      <c r="P7"/>
      <c r="Q7"/>
    </row>
    <row r="8" spans="1:17" x14ac:dyDescent="0.2">
      <c r="A8" s="51"/>
      <c r="B8" s="52"/>
      <c r="F8"/>
      <c r="G8"/>
      <c r="H8"/>
      <c r="I8"/>
      <c r="J8"/>
      <c r="K8"/>
      <c r="L8"/>
      <c r="M8"/>
      <c r="N8"/>
      <c r="O8"/>
      <c r="P8"/>
      <c r="Q8"/>
    </row>
    <row r="9" spans="1:17" x14ac:dyDescent="0.2">
      <c r="A9" s="51"/>
      <c r="B9" s="52"/>
      <c r="F9"/>
      <c r="G9"/>
      <c r="H9"/>
      <c r="I9"/>
      <c r="J9"/>
      <c r="K9"/>
      <c r="L9"/>
      <c r="M9"/>
      <c r="N9"/>
      <c r="O9"/>
      <c r="P9"/>
      <c r="Q9"/>
    </row>
    <row r="10" spans="1:17" x14ac:dyDescent="0.2">
      <c r="A10" s="51"/>
      <c r="B10" s="52"/>
      <c r="F10"/>
      <c r="G10"/>
      <c r="H10"/>
      <c r="I10"/>
      <c r="J10"/>
      <c r="K10"/>
      <c r="L10"/>
      <c r="M10"/>
      <c r="N10"/>
      <c r="O10"/>
      <c r="P10"/>
      <c r="Q10"/>
    </row>
    <row r="11" spans="1:17" x14ac:dyDescent="0.2">
      <c r="A11" s="51"/>
      <c r="B11" s="52"/>
      <c r="F11"/>
      <c r="G11"/>
      <c r="H11"/>
      <c r="I11"/>
      <c r="J11"/>
      <c r="K11"/>
      <c r="L11"/>
      <c r="M11"/>
      <c r="N11"/>
      <c r="O11"/>
      <c r="P11"/>
      <c r="Q11"/>
    </row>
    <row r="12" spans="1:17" x14ac:dyDescent="0.2">
      <c r="A12" s="51"/>
      <c r="B12" s="52"/>
      <c r="F12"/>
      <c r="G12"/>
      <c r="H12"/>
      <c r="I12"/>
      <c r="J12"/>
      <c r="K12"/>
      <c r="L12"/>
      <c r="M12"/>
      <c r="N12"/>
      <c r="O12"/>
      <c r="P12"/>
      <c r="Q12"/>
    </row>
    <row r="13" spans="1:17" x14ac:dyDescent="0.2">
      <c r="A13" s="51"/>
      <c r="B13" s="52"/>
      <c r="F13"/>
      <c r="G13"/>
      <c r="H13"/>
      <c r="I13"/>
      <c r="J13"/>
      <c r="K13"/>
      <c r="L13"/>
      <c r="M13"/>
      <c r="N13"/>
      <c r="O13"/>
      <c r="P13"/>
      <c r="Q13"/>
    </row>
    <row r="14" spans="1:17" x14ac:dyDescent="0.2">
      <c r="A14" s="51"/>
      <c r="B14" s="52"/>
      <c r="F14"/>
      <c r="G14"/>
      <c r="H14"/>
      <c r="I14"/>
      <c r="J14"/>
      <c r="K14"/>
      <c r="L14"/>
      <c r="M14"/>
      <c r="N14"/>
      <c r="O14"/>
      <c r="P14"/>
      <c r="Q14"/>
    </row>
    <row r="15" spans="1:17" x14ac:dyDescent="0.2">
      <c r="A15" s="51"/>
      <c r="B15" s="52"/>
      <c r="F15"/>
      <c r="G15"/>
      <c r="H15"/>
      <c r="I15"/>
      <c r="J15"/>
      <c r="K15"/>
      <c r="L15"/>
      <c r="M15"/>
      <c r="N15"/>
      <c r="O15"/>
      <c r="P15"/>
      <c r="Q15"/>
    </row>
    <row r="16" spans="1:17" x14ac:dyDescent="0.2">
      <c r="A16" s="51"/>
      <c r="B16" s="52"/>
      <c r="F16"/>
      <c r="G16"/>
      <c r="H16"/>
      <c r="I16"/>
      <c r="J16"/>
      <c r="K16"/>
      <c r="L16"/>
      <c r="M16"/>
      <c r="N16"/>
      <c r="O16"/>
      <c r="P16"/>
      <c r="Q16"/>
    </row>
    <row r="17" spans="1:17" x14ac:dyDescent="0.2">
      <c r="A17" s="51"/>
      <c r="B17" s="52"/>
      <c r="F17"/>
      <c r="G17"/>
      <c r="H17"/>
      <c r="I17"/>
      <c r="J17"/>
      <c r="K17"/>
      <c r="L17"/>
      <c r="M17"/>
      <c r="N17"/>
      <c r="O17"/>
      <c r="P17"/>
      <c r="Q17"/>
    </row>
    <row r="18" spans="1:17" x14ac:dyDescent="0.2">
      <c r="A18" s="51"/>
      <c r="B18" s="52"/>
      <c r="F18"/>
      <c r="G18"/>
      <c r="H18"/>
      <c r="I18"/>
      <c r="J18"/>
      <c r="K18"/>
      <c r="L18"/>
      <c r="M18"/>
      <c r="N18"/>
      <c r="O18"/>
      <c r="P18"/>
      <c r="Q18"/>
    </row>
    <row r="19" spans="1:17" x14ac:dyDescent="0.2">
      <c r="A19" s="51"/>
      <c r="B19" s="52"/>
      <c r="F19"/>
      <c r="G19"/>
      <c r="H19"/>
      <c r="I19"/>
      <c r="J19"/>
      <c r="K19"/>
      <c r="L19"/>
      <c r="M19"/>
      <c r="N19"/>
      <c r="O19"/>
      <c r="P19"/>
      <c r="Q19"/>
    </row>
    <row r="20" spans="1:17" x14ac:dyDescent="0.2">
      <c r="A20" s="51"/>
      <c r="B20" s="52"/>
      <c r="F20"/>
      <c r="G20"/>
      <c r="H20"/>
      <c r="I20"/>
      <c r="J20"/>
      <c r="K20"/>
      <c r="L20"/>
      <c r="M20"/>
      <c r="N20"/>
      <c r="O20"/>
      <c r="P20"/>
      <c r="Q20"/>
    </row>
    <row r="21" spans="1:17" x14ac:dyDescent="0.2">
      <c r="A21" s="51"/>
      <c r="B21" s="52"/>
      <c r="F21"/>
      <c r="G21"/>
      <c r="H21"/>
      <c r="I21"/>
      <c r="J21"/>
      <c r="K21"/>
      <c r="L21"/>
      <c r="M21"/>
      <c r="N21"/>
      <c r="O21"/>
      <c r="P21"/>
      <c r="Q21"/>
    </row>
    <row r="22" spans="1:17" x14ac:dyDescent="0.2">
      <c r="A22" s="51"/>
      <c r="B22" s="52"/>
      <c r="F22"/>
      <c r="G22"/>
      <c r="H22"/>
      <c r="I22"/>
      <c r="J22"/>
      <c r="K22"/>
      <c r="L22"/>
      <c r="M22"/>
      <c r="N22"/>
      <c r="O22"/>
      <c r="P22"/>
      <c r="Q22"/>
    </row>
    <row r="23" spans="1:17" x14ac:dyDescent="0.2">
      <c r="A23" s="51"/>
      <c r="B23" s="52"/>
      <c r="F23"/>
      <c r="G23"/>
      <c r="H23"/>
      <c r="I23"/>
      <c r="J23"/>
      <c r="K23"/>
      <c r="L23"/>
      <c r="M23"/>
      <c r="N23"/>
      <c r="O23"/>
      <c r="P23"/>
      <c r="Q23"/>
    </row>
    <row r="24" spans="1:17" x14ac:dyDescent="0.2">
      <c r="A24" s="51"/>
      <c r="B24" s="52"/>
      <c r="F24"/>
      <c r="G24"/>
      <c r="H24"/>
      <c r="I24"/>
      <c r="J24"/>
      <c r="K24"/>
      <c r="L24"/>
      <c r="M24"/>
      <c r="N24"/>
      <c r="O24"/>
      <c r="P24"/>
      <c r="Q24"/>
    </row>
    <row r="25" spans="1:17" ht="71" customHeight="1" x14ac:dyDescent="0.2">
      <c r="B25" s="245" t="s">
        <v>333</v>
      </c>
      <c r="C25" s="245"/>
      <c r="D25" s="245"/>
      <c r="E25" s="245"/>
      <c r="F25" s="245"/>
      <c r="G25" s="245"/>
      <c r="H25" s="245"/>
      <c r="I25" s="245"/>
      <c r="J25" s="245"/>
      <c r="K25" s="245"/>
      <c r="L25" s="245"/>
    </row>
    <row r="26" spans="1:17" ht="21" customHeight="1" x14ac:dyDescent="0.2">
      <c r="B26" s="245" t="s">
        <v>293</v>
      </c>
      <c r="C26" s="245"/>
      <c r="D26" s="245"/>
      <c r="E26" s="245"/>
      <c r="F26" s="245"/>
      <c r="G26" s="245"/>
      <c r="H26" s="245"/>
      <c r="I26" s="245"/>
      <c r="J26" s="245"/>
      <c r="K26" s="245"/>
      <c r="L26" s="245"/>
    </row>
    <row r="28" spans="1:17" s="67" customFormat="1" x14ac:dyDescent="0.2">
      <c r="A28" s="67" t="s">
        <v>116</v>
      </c>
      <c r="B28" s="190" t="s">
        <v>118</v>
      </c>
    </row>
  </sheetData>
  <sheetProtection algorithmName="SHA-512" hashValue="cjrqWurdRXbDN3J94aXSzH9Oradoec+3PtvkqHW2KkKP4Bn3okgq27BrS0M8dN1Y5oClnChMVNwuRYiGekM4ag==" saltValue="VxgFtFKQl2JXeM/oKegIgg==" spinCount="100000" sheet="1" formatColumns="0" formatRows="0" sort="0" autoFilter="0"/>
  <mergeCells count="2">
    <mergeCell ref="B25:L25"/>
    <mergeCell ref="B26:L26"/>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72717-45DD-EB4F-94B9-710A0FEF5219}">
  <sheetPr>
    <tabColor theme="1"/>
  </sheetPr>
  <dimension ref="A1:L37"/>
  <sheetViews>
    <sheetView showGridLines="0" zoomScaleNormal="100" workbookViewId="0"/>
  </sheetViews>
  <sheetFormatPr baseColWidth="10" defaultRowHeight="16" x14ac:dyDescent="0.2"/>
  <cols>
    <col min="1" max="1" width="3.83203125" style="182" customWidth="1"/>
    <col min="2" max="2" width="10.83203125" style="182"/>
    <col min="3" max="3" width="21" style="182" customWidth="1"/>
    <col min="4" max="16384" width="10.83203125" style="182"/>
  </cols>
  <sheetData>
    <row r="1" spans="1:12" ht="20" x14ac:dyDescent="0.2">
      <c r="A1" s="193" t="str">
        <f>Contents!$A1</f>
        <v>Bolt Technology OÜ|Pre-IPO Equity Valuation Model</v>
      </c>
    </row>
    <row r="2" spans="1:12" x14ac:dyDescent="0.2">
      <c r="A2" s="105" t="str">
        <f>Contents!$A2</f>
        <v>Source: Bolt Technology OÜ Consolidated Annual Report 2024-25 (AS PricewaterhouseCoopers audit)</v>
      </c>
    </row>
    <row r="3" spans="1:12" x14ac:dyDescent="0.2">
      <c r="A3" s="1"/>
    </row>
    <row r="4" spans="1:12" s="184" customFormat="1" x14ac:dyDescent="0.2">
      <c r="A4" s="183"/>
    </row>
    <row r="5" spans="1:12" s="67" customFormat="1" x14ac:dyDescent="0.2">
      <c r="A5" s="67" t="s">
        <v>116</v>
      </c>
      <c r="B5" s="185" t="s">
        <v>327</v>
      </c>
    </row>
    <row r="6" spans="1:12" s="1" customFormat="1" x14ac:dyDescent="0.2">
      <c r="B6" s="52"/>
    </row>
    <row r="7" spans="1:12" x14ac:dyDescent="0.2">
      <c r="B7" s="239" t="s">
        <v>330</v>
      </c>
      <c r="C7" s="54"/>
      <c r="D7" s="54"/>
      <c r="E7" s="54"/>
      <c r="F7" s="54"/>
      <c r="G7" s="54"/>
      <c r="H7" s="54"/>
      <c r="I7" s="54"/>
      <c r="J7" s="54"/>
      <c r="K7" s="54"/>
      <c r="L7" s="54"/>
    </row>
    <row r="8" spans="1:12" s="1" customFormat="1" x14ac:dyDescent="0.2"/>
    <row r="9" spans="1:12" s="1" customFormat="1" x14ac:dyDescent="0.2">
      <c r="B9" s="243" t="s">
        <v>331</v>
      </c>
    </row>
    <row r="10" spans="1:12" s="1" customFormat="1" x14ac:dyDescent="0.2">
      <c r="B10" s="244" t="s">
        <v>328</v>
      </c>
    </row>
    <row r="11" spans="1:12" s="1" customFormat="1" x14ac:dyDescent="0.2">
      <c r="B11" s="244" t="s">
        <v>329</v>
      </c>
    </row>
    <row r="12" spans="1:12" s="1" customFormat="1" x14ac:dyDescent="0.2">
      <c r="B12" s="244" t="s">
        <v>332</v>
      </c>
    </row>
    <row r="13" spans="1:12" s="1" customFormat="1" x14ac:dyDescent="0.2">
      <c r="B13" s="51"/>
    </row>
    <row r="14" spans="1:12" s="67" customFormat="1" x14ac:dyDescent="0.2">
      <c r="A14" s="67" t="s">
        <v>116</v>
      </c>
      <c r="B14" s="185" t="s">
        <v>130</v>
      </c>
    </row>
    <row r="15" spans="1:12" s="1" customFormat="1" x14ac:dyDescent="0.2">
      <c r="B15" s="52"/>
    </row>
    <row r="16" spans="1:12" s="1" customFormat="1" ht="16" customHeight="1" x14ac:dyDescent="0.2">
      <c r="B16" s="186" t="s">
        <v>215</v>
      </c>
      <c r="C16" s="187" t="s">
        <v>216</v>
      </c>
      <c r="D16" s="188" t="s">
        <v>221</v>
      </c>
    </row>
    <row r="17" spans="1:12" s="1" customFormat="1" ht="16" customHeight="1" x14ac:dyDescent="0.2">
      <c r="B17" s="189" t="s">
        <v>217</v>
      </c>
      <c r="C17" s="187" t="s">
        <v>218</v>
      </c>
      <c r="D17" s="188" t="s">
        <v>222</v>
      </c>
    </row>
    <row r="18" spans="1:12" s="1" customFormat="1" ht="16" customHeight="1" x14ac:dyDescent="0.2">
      <c r="B18" s="194" t="s">
        <v>219</v>
      </c>
      <c r="C18" s="187" t="s">
        <v>231</v>
      </c>
      <c r="D18" s="188" t="s">
        <v>289</v>
      </c>
    </row>
    <row r="19" spans="1:12" s="1" customFormat="1" ht="16" customHeight="1" x14ac:dyDescent="0.2">
      <c r="B19" s="53" t="s">
        <v>220</v>
      </c>
      <c r="C19" s="187" t="s">
        <v>301</v>
      </c>
      <c r="D19" s="188" t="s">
        <v>223</v>
      </c>
    </row>
    <row r="20" spans="1:12" s="1" customFormat="1" x14ac:dyDescent="0.2">
      <c r="B20" s="53"/>
      <c r="C20" s="187"/>
      <c r="D20" s="188"/>
    </row>
    <row r="21" spans="1:12" s="67" customFormat="1" x14ac:dyDescent="0.2">
      <c r="A21" s="67" t="s">
        <v>116</v>
      </c>
      <c r="B21" s="190" t="s">
        <v>305</v>
      </c>
    </row>
    <row r="23" spans="1:12" s="1" customFormat="1" ht="16" customHeight="1" x14ac:dyDescent="0.2">
      <c r="B23" s="54" t="s">
        <v>310</v>
      </c>
      <c r="C23" s="188"/>
      <c r="D23" s="188"/>
    </row>
    <row r="24" spans="1:12" s="1" customFormat="1" x14ac:dyDescent="0.2">
      <c r="B24" s="55"/>
      <c r="C24" s="187"/>
      <c r="D24" s="188"/>
    </row>
    <row r="25" spans="1:12" x14ac:dyDescent="0.2">
      <c r="B25" s="239" t="s">
        <v>318</v>
      </c>
      <c r="C25" s="54"/>
      <c r="D25" s="54"/>
      <c r="E25" s="54"/>
      <c r="F25" s="54"/>
      <c r="G25" s="54"/>
      <c r="H25" s="54"/>
      <c r="I25" s="54"/>
      <c r="J25" s="54"/>
      <c r="K25" s="54"/>
      <c r="L25" s="54"/>
    </row>
    <row r="26" spans="1:12" x14ac:dyDescent="0.2">
      <c r="B26" s="240" t="s">
        <v>317</v>
      </c>
      <c r="C26" s="54"/>
      <c r="D26" s="54"/>
      <c r="E26" s="54"/>
      <c r="F26" s="54"/>
      <c r="G26" s="54"/>
      <c r="H26" s="54"/>
      <c r="I26" s="54"/>
      <c r="J26" s="54"/>
      <c r="K26" s="54"/>
      <c r="L26" s="54"/>
    </row>
    <row r="27" spans="1:12" x14ac:dyDescent="0.2">
      <c r="B27" s="54"/>
      <c r="C27" s="54"/>
      <c r="D27" s="54"/>
      <c r="E27" s="54"/>
      <c r="F27" s="54"/>
      <c r="G27" s="54"/>
      <c r="H27" s="54"/>
      <c r="I27" s="54"/>
      <c r="J27" s="54"/>
      <c r="K27" s="54"/>
      <c r="L27" s="54"/>
    </row>
    <row r="28" spans="1:12" x14ac:dyDescent="0.2">
      <c r="B28" s="239" t="s">
        <v>319</v>
      </c>
      <c r="C28" s="54"/>
      <c r="D28" s="54"/>
      <c r="E28" s="54"/>
      <c r="F28" s="54"/>
      <c r="G28" s="54"/>
      <c r="H28" s="54"/>
      <c r="I28" s="54"/>
      <c r="J28" s="54"/>
      <c r="K28" s="54"/>
      <c r="L28" s="54"/>
    </row>
    <row r="29" spans="1:12" x14ac:dyDescent="0.2">
      <c r="B29" s="240" t="s">
        <v>320</v>
      </c>
      <c r="C29" s="54"/>
      <c r="D29" s="54"/>
      <c r="E29" s="54"/>
      <c r="F29" s="54"/>
      <c r="G29" s="54"/>
      <c r="H29" s="54"/>
      <c r="I29" s="54"/>
      <c r="J29" s="54"/>
      <c r="K29" s="54"/>
      <c r="L29" s="54"/>
    </row>
    <row r="30" spans="1:12" x14ac:dyDescent="0.2">
      <c r="B30" s="54"/>
      <c r="C30" s="54"/>
      <c r="D30" s="54"/>
      <c r="E30" s="54"/>
      <c r="F30" s="54"/>
      <c r="G30" s="54"/>
      <c r="H30" s="54"/>
      <c r="I30" s="54"/>
      <c r="J30" s="54"/>
      <c r="K30" s="54"/>
      <c r="L30" s="54"/>
    </row>
    <row r="31" spans="1:12" x14ac:dyDescent="0.2">
      <c r="B31" s="239" t="s">
        <v>321</v>
      </c>
      <c r="C31" s="54"/>
      <c r="D31" s="54"/>
      <c r="E31" s="54"/>
      <c r="F31" s="54"/>
      <c r="G31" s="54"/>
      <c r="H31" s="54"/>
      <c r="I31" s="54"/>
      <c r="J31" s="54"/>
      <c r="K31" s="54"/>
      <c r="L31" s="54"/>
    </row>
    <row r="32" spans="1:12" x14ac:dyDescent="0.2">
      <c r="B32" s="240" t="s">
        <v>322</v>
      </c>
    </row>
    <row r="34" spans="1:2" x14ac:dyDescent="0.2">
      <c r="B34" s="239" t="s">
        <v>323</v>
      </c>
    </row>
    <row r="35" spans="1:2" x14ac:dyDescent="0.2">
      <c r="B35" s="240" t="s">
        <v>324</v>
      </c>
    </row>
    <row r="37" spans="1:2" s="67" customFormat="1" x14ac:dyDescent="0.2">
      <c r="A37" s="67" t="s">
        <v>116</v>
      </c>
      <c r="B37" s="190" t="s">
        <v>118</v>
      </c>
    </row>
  </sheetData>
  <sheetProtection algorithmName="SHA-512" hashValue="ssDXO1eLV3Snv1+p1o4QF5hediUTq0Nstcgb6Q2O7RWcY/Us3OJvLUFdmGKhV6sX9GVCyYhGQse6TPmLMrq6Nw==" saltValue="mwpxap7PSkG8EN7uya6cIQ==" spinCount="100000" sheet="1" objects="1" scenario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5210B-4F42-0B4C-B131-753C07A929A8}">
  <sheetPr>
    <tabColor theme="1"/>
  </sheetPr>
  <dimension ref="A1"/>
  <sheetViews>
    <sheetView topLeftCell="XFD1048576" workbookViewId="0"/>
  </sheetViews>
  <sheetFormatPr baseColWidth="10" defaultColWidth="0" defaultRowHeight="15" zeroHeight="1" x14ac:dyDescent="0.2"/>
  <cols>
    <col min="1" max="16384" width="10.83203125" hidden="1"/>
  </cols>
  <sheetData/>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9B56D-DC95-1D41-9245-8B9F23C86689}">
  <sheetPr>
    <tabColor theme="9"/>
    <pageSetUpPr fitToPage="1"/>
  </sheetPr>
  <dimension ref="A1:H64"/>
  <sheetViews>
    <sheetView showGridLines="0" showRowColHeaders="0" zoomScaleNormal="100" workbookViewId="0"/>
  </sheetViews>
  <sheetFormatPr baseColWidth="10" defaultColWidth="0" defaultRowHeight="16" x14ac:dyDescent="0.2"/>
  <cols>
    <col min="1" max="1" width="2" style="1" customWidth="1"/>
    <col min="2" max="2" width="56.33203125" style="1" customWidth="1"/>
    <col min="3" max="7" width="20" style="1" customWidth="1"/>
    <col min="8" max="8" width="2.33203125" style="1" customWidth="1"/>
    <col min="9" max="16384" width="10.83203125" style="1" hidden="1"/>
  </cols>
  <sheetData>
    <row r="1" spans="1:7" ht="20" x14ac:dyDescent="0.2">
      <c r="A1" s="193" t="str">
        <f>Contents!$A1</f>
        <v>Bolt Technology OÜ|Pre-IPO Equity Valuation Model</v>
      </c>
      <c r="B1" s="152"/>
    </row>
    <row r="2" spans="1:7" x14ac:dyDescent="0.2">
      <c r="A2" s="110" t="str">
        <f>Contents!$A2</f>
        <v>Source: Bolt Technology OÜ Consolidated Annual Report 2024-25 (AS PricewaterhouseCoopers audit)</v>
      </c>
      <c r="B2" s="110"/>
    </row>
    <row r="3" spans="1:7" x14ac:dyDescent="0.2">
      <c r="A3" s="153"/>
      <c r="F3" s="237" t="str">
        <f>i_Scenario_Manager!B6</f>
        <v>Selected Case</v>
      </c>
      <c r="G3" s="229">
        <f>i_Scenario_Manager!C6</f>
        <v>3</v>
      </c>
    </row>
    <row r="4" spans="1:7" x14ac:dyDescent="0.2">
      <c r="B4" s="195" t="s">
        <v>126</v>
      </c>
    </row>
    <row r="5" spans="1:7" s="94" customFormat="1" x14ac:dyDescent="0.2">
      <c r="A5" s="88" t="s">
        <v>126</v>
      </c>
      <c r="B5" s="109" t="s">
        <v>212</v>
      </c>
    </row>
    <row r="6" spans="1:7" ht="8" customHeight="1" thickBot="1" x14ac:dyDescent="0.25">
      <c r="A6" s="85"/>
      <c r="B6" s="52"/>
    </row>
    <row r="7" spans="1:7" ht="42" customHeight="1" thickTop="1" x14ac:dyDescent="0.2">
      <c r="B7" s="201" t="str">
        <f>o_Valuation!B81</f>
        <v>Target Price post IPO Discount</v>
      </c>
      <c r="C7" s="154"/>
      <c r="D7" s="155"/>
    </row>
    <row r="8" spans="1:7" ht="34" customHeight="1" thickBot="1" x14ac:dyDescent="0.25">
      <c r="B8" s="156">
        <f>o_Valuation!D81</f>
        <v>143.70014535289152</v>
      </c>
      <c r="C8" s="157"/>
      <c r="D8" s="158"/>
    </row>
    <row r="9" spans="1:7" ht="8" customHeight="1" thickTop="1" x14ac:dyDescent="0.2"/>
    <row r="10" spans="1:7" ht="34" customHeight="1" x14ac:dyDescent="0.2">
      <c r="B10" s="200" t="str">
        <f>o_Valuation!B75</f>
        <v>Blended Target Pre-Money Equity Value</v>
      </c>
      <c r="C10" s="159"/>
      <c r="D10" s="159"/>
      <c r="E10" s="159"/>
      <c r="F10" s="159"/>
      <c r="G10" s="160"/>
    </row>
    <row r="11" spans="1:7" ht="34" customHeight="1" x14ac:dyDescent="0.2">
      <c r="B11" s="161">
        <f>o_Valuation!D75</f>
        <v>4824461.9767240128</v>
      </c>
      <c r="C11" s="162"/>
      <c r="D11" s="162"/>
      <c r="E11" s="162"/>
      <c r="F11" s="162"/>
      <c r="G11" s="163"/>
    </row>
    <row r="12" spans="1:7" ht="8" customHeight="1" x14ac:dyDescent="0.2"/>
    <row r="13" spans="1:7" s="94" customFormat="1" x14ac:dyDescent="0.2">
      <c r="A13" s="88" t="s">
        <v>126</v>
      </c>
      <c r="B13" s="109" t="s">
        <v>213</v>
      </c>
    </row>
    <row r="14" spans="1:7" x14ac:dyDescent="0.2">
      <c r="A14" s="85"/>
      <c r="B14" s="52"/>
    </row>
    <row r="15" spans="1:7" x14ac:dyDescent="0.2">
      <c r="B15" s="196" t="s">
        <v>214</v>
      </c>
      <c r="C15" s="197" t="str">
        <f>o_FS!E4</f>
        <v>2024A</v>
      </c>
      <c r="D15" s="197" t="str">
        <f>o_FS!F4</f>
        <v>2025A</v>
      </c>
      <c r="E15" s="197" t="str">
        <f>o_FS!G4</f>
        <v>2026E</v>
      </c>
      <c r="F15" s="197" t="str">
        <f>o_FS!H4</f>
        <v>2027E</v>
      </c>
      <c r="G15" s="197" t="str">
        <f>o_FS!I4</f>
        <v>2028E</v>
      </c>
    </row>
    <row r="16" spans="1:7" x14ac:dyDescent="0.2">
      <c r="B16" s="198"/>
      <c r="C16" s="199" t="str">
        <f>o_FS!E5</f>
        <v>Actual</v>
      </c>
      <c r="D16" s="199" t="str">
        <f>o_FS!F5</f>
        <v>Actual</v>
      </c>
      <c r="E16" s="199" t="str">
        <f>o_FS!G5</f>
        <v>Estimate</v>
      </c>
      <c r="F16" s="199" t="str">
        <f>o_FS!H5</f>
        <v>Estimate</v>
      </c>
      <c r="G16" s="199" t="str">
        <f>o_FS!I5</f>
        <v>Estimate</v>
      </c>
    </row>
    <row r="17" spans="2:7" x14ac:dyDescent="0.2">
      <c r="B17" s="164" t="str">
        <f>o_FS!B8</f>
        <v>Sales revenue</v>
      </c>
      <c r="C17" s="165">
        <f>o_FS!E8</f>
        <v>1992054</v>
      </c>
      <c r="D17" s="165">
        <f>o_FS!F8</f>
        <v>2270854</v>
      </c>
      <c r="E17" s="203">
        <f>o_FS!G8</f>
        <v>2563281.25</v>
      </c>
      <c r="F17" s="203">
        <f>o_FS!H8</f>
        <v>2867849.1805000002</v>
      </c>
      <c r="G17" s="203">
        <f>o_FS!I8</f>
        <v>3172646.9490240002</v>
      </c>
    </row>
    <row r="18" spans="2:7" s="51" customFormat="1" x14ac:dyDescent="0.2">
      <c r="B18" s="166" t="str">
        <f>c_FS!B12</f>
        <v xml:space="preserve">  YoY revenue growth rate (%)</v>
      </c>
      <c r="C18" s="167">
        <f>c_FS!E12</f>
        <v>0</v>
      </c>
      <c r="D18" s="167">
        <f>c_FS!F12</f>
        <v>0.13995604536824802</v>
      </c>
      <c r="E18" s="204">
        <f>c_FS!G12</f>
        <v>0.12877413078956201</v>
      </c>
      <c r="F18" s="204">
        <f>c_FS!H12</f>
        <v>0.1188195522828408</v>
      </c>
      <c r="G18" s="204">
        <f>c_FS!I12</f>
        <v>0.10628096156397571</v>
      </c>
    </row>
    <row r="19" spans="2:7" s="51" customFormat="1" x14ac:dyDescent="0.2">
      <c r="B19" s="166" t="str">
        <f>o_FS!B11</f>
        <v xml:space="preserve">  Gross Margin %</v>
      </c>
      <c r="C19" s="167">
        <f>o_FS!E11</f>
        <v>0.56603736645693337</v>
      </c>
      <c r="D19" s="167">
        <f>o_FS!F11</f>
        <v>0.63395268916451697</v>
      </c>
      <c r="E19" s="204">
        <f>o_FS!G11</f>
        <v>0.64500000000000002</v>
      </c>
      <c r="F19" s="204">
        <f>o_FS!H11</f>
        <v>0.65</v>
      </c>
      <c r="G19" s="204">
        <f>o_FS!I11</f>
        <v>0.65500000000000003</v>
      </c>
    </row>
    <row r="20" spans="2:7" x14ac:dyDescent="0.2">
      <c r="B20" s="168" t="str">
        <f>o_FS!B20</f>
        <v>EBITDA</v>
      </c>
      <c r="C20" s="169">
        <f>o_FS!E20</f>
        <v>-30298</v>
      </c>
      <c r="D20" s="169">
        <f>o_FS!F20</f>
        <v>76672</v>
      </c>
      <c r="E20" s="205">
        <f>o_FS!G20</f>
        <v>92570.71875</v>
      </c>
      <c r="F20" s="205">
        <f>o_FS!H20</f>
        <v>183438.2631225001</v>
      </c>
      <c r="G20" s="205">
        <f>o_FS!I20</f>
        <v>292518.0561768004</v>
      </c>
    </row>
    <row r="21" spans="2:7" s="51" customFormat="1" x14ac:dyDescent="0.2">
      <c r="B21" s="166" t="str">
        <f>o_FS!B21</f>
        <v xml:space="preserve">  EBITDA Margin %</v>
      </c>
      <c r="C21" s="167">
        <f>o_FS!E21</f>
        <v>-1.5209427053684287E-2</v>
      </c>
      <c r="D21" s="167">
        <f>o_FS!F21</f>
        <v>3.3763509234851732E-2</v>
      </c>
      <c r="E21" s="204">
        <f>o_FS!G21</f>
        <v>3.6114148125571476E-2</v>
      </c>
      <c r="F21" s="204">
        <f>o_FS!H21</f>
        <v>6.3963706449346208E-2</v>
      </c>
      <c r="G21" s="204">
        <f>o_FS!I21</f>
        <v>9.2200002356640276E-2</v>
      </c>
    </row>
    <row r="22" spans="2:7" x14ac:dyDescent="0.2">
      <c r="B22" s="170" t="str">
        <f>o_FS!B17</f>
        <v>Operating Profit / (Loss) (EBIT)</v>
      </c>
      <c r="C22" s="171">
        <f>o_FS!E17</f>
        <v>-87735</v>
      </c>
      <c r="D22" s="171">
        <f>o_FS!F17</f>
        <v>19454</v>
      </c>
      <c r="E22" s="206">
        <f>o_FS!G17</f>
        <v>38449.21875</v>
      </c>
      <c r="F22" s="206">
        <f>o_FS!H17</f>
        <v>129053.21312250011</v>
      </c>
      <c r="G22" s="206">
        <f>o_FS!I17</f>
        <v>237948.52117680036</v>
      </c>
    </row>
    <row r="23" spans="2:7" x14ac:dyDescent="0.2">
      <c r="B23" s="170" t="str">
        <f>o_FS!B26</f>
        <v>Net Profit / (Loss) for the Period</v>
      </c>
      <c r="C23" s="171">
        <f>o_FS!E26</f>
        <v>-102594</v>
      </c>
      <c r="D23" s="171">
        <f>o_FS!F26</f>
        <v>920</v>
      </c>
      <c r="E23" s="206">
        <f>o_FS!G26</f>
        <v>29347.712276999999</v>
      </c>
      <c r="F23" s="206">
        <f>o_FS!H26</f>
        <v>101054.30998760104</v>
      </c>
      <c r="G23" s="206">
        <f>o_FS!I26</f>
        <v>187892.75760187401</v>
      </c>
    </row>
    <row r="24" spans="2:7" x14ac:dyDescent="0.2">
      <c r="B24" s="168" t="str">
        <f>o_FS!B35</f>
        <v>Free Cash Flow to Firm (FCFF)</v>
      </c>
      <c r="C24" s="169">
        <f>o_FS!E35</f>
        <v>-34486.300000000003</v>
      </c>
      <c r="D24" s="169">
        <f>o_FS!F35</f>
        <v>48622.119999999995</v>
      </c>
      <c r="E24" s="205">
        <f>o_FS!G35</f>
        <v>39064.744648972614</v>
      </c>
      <c r="F24" s="205">
        <f>o_FS!H35</f>
        <v>91447.670551303483</v>
      </c>
      <c r="G24" s="205">
        <f>o_FS!I35</f>
        <v>188373.00718525331</v>
      </c>
    </row>
    <row r="25" spans="2:7" x14ac:dyDescent="0.2">
      <c r="B25" s="170" t="str">
        <f>o_FS!B39</f>
        <v>Closing cash &amp; cash equivalents</v>
      </c>
      <c r="C25" s="171">
        <f>o_FS!E39</f>
        <v>342247</v>
      </c>
      <c r="D25" s="171">
        <f>o_FS!F39</f>
        <v>357038</v>
      </c>
      <c r="E25" s="206">
        <f>o_FS!G39</f>
        <v>384660.83190148778</v>
      </c>
      <c r="F25" s="206">
        <f>o_FS!H39</f>
        <v>465465.84478947567</v>
      </c>
      <c r="G25" s="206">
        <f>o_FS!I39</f>
        <v>644276.36686017038</v>
      </c>
    </row>
    <row r="26" spans="2:7" x14ac:dyDescent="0.2">
      <c r="B26" s="172" t="str">
        <f>o_FS!B42</f>
        <v>Net Cash / (Net Debt) Position</v>
      </c>
      <c r="C26" s="173">
        <f>o_FS!E42</f>
        <v>104873</v>
      </c>
      <c r="D26" s="173">
        <f>o_FS!F42</f>
        <v>249474</v>
      </c>
      <c r="E26" s="207">
        <f>o_FS!G42</f>
        <v>287896.0663009726</v>
      </c>
      <c r="F26" s="207">
        <f>o_FS!H42</f>
        <v>379736.54060432699</v>
      </c>
      <c r="G26" s="207">
        <f>o_FS!I42</f>
        <v>570402.45887354994</v>
      </c>
    </row>
    <row r="28" spans="2:7" x14ac:dyDescent="0.2">
      <c r="B28" s="202" t="s">
        <v>225</v>
      </c>
      <c r="C28" s="202"/>
    </row>
    <row r="29" spans="2:7" x14ac:dyDescent="0.2">
      <c r="B29" s="174" t="str">
        <f>o_Valuation!B30</f>
        <v>Weighted Average Cost of Capital (WACC) - sensitized</v>
      </c>
      <c r="C29" s="175">
        <f>o_Valuation!D30</f>
        <v>0.10201850000000001</v>
      </c>
    </row>
    <row r="30" spans="2:7" x14ac:dyDescent="0.2">
      <c r="B30" s="176" t="str">
        <f>o_Valuation!B31</f>
        <v>Terminal Growth Rate (g) - sensitized</v>
      </c>
      <c r="C30" s="175">
        <f>o_Valuation!D31</f>
        <v>0.04</v>
      </c>
    </row>
    <row r="31" spans="2:7" x14ac:dyDescent="0.2">
      <c r="B31" s="176" t="str">
        <f>i_Inputs!B58</f>
        <v>Target EV / Sales Multiple</v>
      </c>
      <c r="C31" s="177">
        <f>i_Inputs!D58</f>
        <v>2.5</v>
      </c>
    </row>
    <row r="32" spans="2:7" x14ac:dyDescent="0.2">
      <c r="B32" s="176" t="str">
        <f>i_Inputs!B59</f>
        <v>Target EV / EBITDA Multiple</v>
      </c>
      <c r="C32" s="177">
        <f>i_Inputs!D59</f>
        <v>20</v>
      </c>
    </row>
    <row r="33" spans="2:3" x14ac:dyDescent="0.2">
      <c r="B33" s="176" t="str">
        <f>i_Inputs!B49</f>
        <v>Effective corporate tax rate</v>
      </c>
      <c r="C33" s="175">
        <f>i_Inputs!D49</f>
        <v>0.22</v>
      </c>
    </row>
    <row r="34" spans="2:3" x14ac:dyDescent="0.2">
      <c r="B34" s="178" t="str">
        <f>i_Inputs!B62</f>
        <v>IPO Underwriter Discount / Spread</v>
      </c>
      <c r="C34" s="175">
        <f>i_Inputs!D62</f>
        <v>7.0000000000000007E-2</v>
      </c>
    </row>
    <row r="35" spans="2:3" x14ac:dyDescent="0.2">
      <c r="B35" s="176" t="str">
        <f>o_Valuation!B77</f>
        <v>Target Primary Capital Raised at IPO</v>
      </c>
      <c r="C35" s="179">
        <f>o_Valuation!D77</f>
        <v>500000</v>
      </c>
    </row>
    <row r="37" spans="2:3" x14ac:dyDescent="0.2">
      <c r="B37" s="202" t="s">
        <v>227</v>
      </c>
      <c r="C37" s="202"/>
    </row>
    <row r="38" spans="2:3" x14ac:dyDescent="0.2">
      <c r="B38" s="176" t="str">
        <f>o_Valuation!B52</f>
        <v>Diluted Shares Outstanding</v>
      </c>
      <c r="C38" s="180">
        <f>o_Valuation!D52</f>
        <v>31223</v>
      </c>
    </row>
    <row r="39" spans="2:3" x14ac:dyDescent="0.2">
      <c r="B39" s="176" t="s">
        <v>228</v>
      </c>
      <c r="C39" s="181">
        <f>o_FS!F39</f>
        <v>357038</v>
      </c>
    </row>
    <row r="40" spans="2:3" x14ac:dyDescent="0.2">
      <c r="B40" s="176" t="s">
        <v>229</v>
      </c>
      <c r="C40" s="180">
        <f>o_FS!F40</f>
        <v>-527</v>
      </c>
    </row>
    <row r="41" spans="2:3" x14ac:dyDescent="0.2">
      <c r="B41" s="176" t="s">
        <v>230</v>
      </c>
      <c r="C41" s="180">
        <f>o_FS!F41</f>
        <v>-107037</v>
      </c>
    </row>
    <row r="42" spans="2:3" x14ac:dyDescent="0.2">
      <c r="B42" s="176" t="s">
        <v>54</v>
      </c>
      <c r="C42" s="180">
        <f>i_Historical!F58</f>
        <v>220000</v>
      </c>
    </row>
    <row r="64" spans="1:2" s="94" customFormat="1" x14ac:dyDescent="0.2">
      <c r="A64" s="88" t="s">
        <v>126</v>
      </c>
      <c r="B64" s="109" t="s">
        <v>118</v>
      </c>
    </row>
  </sheetData>
  <sheetProtection algorithmName="SHA-512" hashValue="hvO+IBv/rr7y8NIjQKR2nkEPUnRfnOUfsl3qI1Mg+d9kxUDJDxelsSqA3Bl+vdvpfl9CQ5UT22+6etwQjFMMnQ==" saltValue="/ia3ch3I+79blbRzM/a1IQ==" spinCount="100000" sheet="1" objects="1" scenarios="1"/>
  <printOptions horizontalCentered="1" verticalCentered="1"/>
  <pageMargins left="0.3" right="0.3" top="0.4" bottom="0.4" header="0.2" footer="0.2"/>
  <pageSetup paperSize="9" scale="56" orientation="landscape" errors="blank" horizontalDpi="0" verticalDpi="0"/>
  <headerFooter>
    <oddFooter>&amp;C&amp;A – Page &amp;P of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I91"/>
  <sheetViews>
    <sheetView showGridLines="0" zoomScaleNormal="100" workbookViewId="0"/>
  </sheetViews>
  <sheetFormatPr baseColWidth="10" defaultColWidth="8.83203125" defaultRowHeight="16" outlineLevelRow="1" x14ac:dyDescent="0.2"/>
  <cols>
    <col min="1" max="1" width="7" style="1" customWidth="1"/>
    <col min="2" max="2" width="57.5" style="1" customWidth="1"/>
    <col min="3" max="3" width="12.5" style="85" bestFit="1" customWidth="1"/>
    <col min="4" max="9" width="22.6640625" style="1" customWidth="1"/>
    <col min="10" max="16384" width="8.83203125" style="1"/>
  </cols>
  <sheetData>
    <row r="1" spans="1:5" ht="20" x14ac:dyDescent="0.2">
      <c r="A1" s="193" t="str">
        <f>Contents!$A1</f>
        <v>Bolt Technology OÜ|Pre-IPO Equity Valuation Model</v>
      </c>
    </row>
    <row r="2" spans="1:5" x14ac:dyDescent="0.2">
      <c r="A2" s="105" t="str">
        <f>Contents!$A2</f>
        <v>Source: Bolt Technology OÜ Consolidated Annual Report 2024-25 (AS PricewaterhouseCoopers audit)</v>
      </c>
    </row>
    <row r="3" spans="1:5" x14ac:dyDescent="0.2">
      <c r="A3" s="110"/>
    </row>
    <row r="4" spans="1:5" s="56" customFormat="1" x14ac:dyDescent="0.2">
      <c r="C4" s="115"/>
    </row>
    <row r="5" spans="1:5" s="94" customFormat="1" x14ac:dyDescent="0.2">
      <c r="A5" s="88" t="s">
        <v>126</v>
      </c>
      <c r="B5" s="109" t="s">
        <v>249</v>
      </c>
      <c r="C5" s="116"/>
    </row>
    <row r="6" spans="1:5" s="57" customFormat="1" outlineLevel="1" x14ac:dyDescent="0.2">
      <c r="C6" s="117"/>
      <c r="D6" s="58"/>
      <c r="E6" s="58"/>
    </row>
    <row r="7" spans="1:5" outlineLevel="1" x14ac:dyDescent="0.2">
      <c r="B7" s="3" t="s">
        <v>250</v>
      </c>
      <c r="C7" s="86" t="s">
        <v>56</v>
      </c>
      <c r="D7" s="118">
        <f>i_Inputs!$D$73</f>
        <v>2.5000000000000001E-2</v>
      </c>
      <c r="E7" s="3"/>
    </row>
    <row r="8" spans="1:5" outlineLevel="1" x14ac:dyDescent="0.2">
      <c r="B8" s="3" t="s">
        <v>270</v>
      </c>
      <c r="C8" s="86" t="s">
        <v>67</v>
      </c>
      <c r="D8" s="119">
        <f>i_Inputs!$D$76</f>
        <v>1.1000000000000001</v>
      </c>
      <c r="E8" s="3"/>
    </row>
    <row r="9" spans="1:5" outlineLevel="1" x14ac:dyDescent="0.2">
      <c r="B9" s="3" t="s">
        <v>271</v>
      </c>
      <c r="C9" s="86" t="s">
        <v>56</v>
      </c>
      <c r="D9" s="118">
        <f>i_Inputs!$D$80</f>
        <v>0.15</v>
      </c>
      <c r="E9" s="3"/>
    </row>
    <row r="10" spans="1:5" outlineLevel="1" x14ac:dyDescent="0.2">
      <c r="B10" s="3" t="s">
        <v>258</v>
      </c>
      <c r="C10" s="86" t="s">
        <v>56</v>
      </c>
      <c r="D10" s="118">
        <f>i_Inputs!$D$81</f>
        <v>0.85</v>
      </c>
      <c r="E10" s="3"/>
    </row>
    <row r="11" spans="1:5" outlineLevel="1" x14ac:dyDescent="0.2">
      <c r="B11" s="3" t="s">
        <v>272</v>
      </c>
      <c r="C11" s="86" t="s">
        <v>67</v>
      </c>
      <c r="D11" s="120">
        <f>D9/D10</f>
        <v>0.17647058823529413</v>
      </c>
      <c r="E11" s="3"/>
    </row>
    <row r="12" spans="1:5" outlineLevel="1" x14ac:dyDescent="0.2">
      <c r="B12" s="3" t="s">
        <v>273</v>
      </c>
      <c r="C12" s="86" t="s">
        <v>56</v>
      </c>
      <c r="D12" s="118">
        <f>i_Inputs!$D$79</f>
        <v>0.22</v>
      </c>
      <c r="E12" s="3"/>
    </row>
    <row r="13" spans="1:5" outlineLevel="1" x14ac:dyDescent="0.2">
      <c r="B13" s="3"/>
      <c r="C13" s="86"/>
      <c r="D13" s="121"/>
      <c r="E13" s="3"/>
    </row>
    <row r="14" spans="1:5" outlineLevel="1" x14ac:dyDescent="0.2">
      <c r="B14" s="3" t="s">
        <v>274</v>
      </c>
      <c r="C14" s="86" t="s">
        <v>67</v>
      </c>
      <c r="D14" s="120">
        <f>D8*(1+(1-D12)*D11)</f>
        <v>1.2514117647058824</v>
      </c>
      <c r="E14" s="3"/>
    </row>
    <row r="15" spans="1:5" outlineLevel="1" x14ac:dyDescent="0.2">
      <c r="B15" s="3" t="s">
        <v>251</v>
      </c>
      <c r="C15" s="86" t="s">
        <v>56</v>
      </c>
      <c r="D15" s="118">
        <f>i_Inputs!$D$74</f>
        <v>5.5E-2</v>
      </c>
      <c r="E15" s="3"/>
    </row>
    <row r="16" spans="1:5" outlineLevel="1" x14ac:dyDescent="0.2">
      <c r="B16" s="3" t="s">
        <v>252</v>
      </c>
      <c r="C16" s="86" t="s">
        <v>56</v>
      </c>
      <c r="D16" s="118">
        <f>i_Inputs!$D$75</f>
        <v>0.01</v>
      </c>
      <c r="E16" s="3"/>
    </row>
    <row r="17" spans="1:5" outlineLevel="1" x14ac:dyDescent="0.2">
      <c r="B17" s="3" t="s">
        <v>275</v>
      </c>
      <c r="C17" s="86" t="s">
        <v>56</v>
      </c>
      <c r="D17" s="118">
        <f>i_Inputs!$D$77</f>
        <v>0.01</v>
      </c>
      <c r="E17" s="3"/>
    </row>
    <row r="18" spans="1:5" ht="17" outlineLevel="1" thickBot="1" x14ac:dyDescent="0.25">
      <c r="B18" s="122" t="s">
        <v>276</v>
      </c>
      <c r="C18" s="123" t="s">
        <v>56</v>
      </c>
      <c r="D18" s="124">
        <f>D7+D14*D15+D16+D17</f>
        <v>0.11382764705882353</v>
      </c>
      <c r="E18" s="3"/>
    </row>
    <row r="19" spans="1:5" outlineLevel="1" x14ac:dyDescent="0.2">
      <c r="B19" s="10"/>
      <c r="C19" s="43"/>
      <c r="D19" s="125"/>
      <c r="E19" s="3"/>
    </row>
    <row r="20" spans="1:5" outlineLevel="1" x14ac:dyDescent="0.2">
      <c r="B20" s="3" t="s">
        <v>277</v>
      </c>
      <c r="C20" s="86" t="s">
        <v>56</v>
      </c>
      <c r="D20" s="118">
        <f>i_Inputs!$D$78</f>
        <v>4.4999999999999998E-2</v>
      </c>
      <c r="E20" s="3"/>
    </row>
    <row r="21" spans="1:5" outlineLevel="1" x14ac:dyDescent="0.2">
      <c r="B21" s="3" t="s">
        <v>278</v>
      </c>
      <c r="C21" s="86" t="s">
        <v>56</v>
      </c>
      <c r="D21" s="121">
        <f>D20*(1-D12)</f>
        <v>3.5099999999999999E-2</v>
      </c>
      <c r="E21" s="3"/>
    </row>
    <row r="22" spans="1:5" ht="17" outlineLevel="1" thickBot="1" x14ac:dyDescent="0.25">
      <c r="B22" s="122" t="s">
        <v>279</v>
      </c>
      <c r="C22" s="123" t="s">
        <v>56</v>
      </c>
      <c r="D22" s="124">
        <f>D10*D18+D9*D21</f>
        <v>0.10201850000000001</v>
      </c>
      <c r="E22" s="3"/>
    </row>
    <row r="23" spans="1:5" outlineLevel="1" x14ac:dyDescent="0.2">
      <c r="B23" s="10"/>
      <c r="C23" s="43"/>
      <c r="D23" s="125"/>
      <c r="E23" s="3"/>
    </row>
    <row r="24" spans="1:5" outlineLevel="1" x14ac:dyDescent="0.2">
      <c r="B24" s="3" t="s">
        <v>280</v>
      </c>
      <c r="C24" s="86" t="s">
        <v>56</v>
      </c>
      <c r="D24" s="118">
        <f>i_Inputs!$D$54</f>
        <v>0.105</v>
      </c>
      <c r="E24" s="3"/>
    </row>
    <row r="25" spans="1:5" outlineLevel="1" x14ac:dyDescent="0.2">
      <c r="B25" s="126" t="s">
        <v>281</v>
      </c>
      <c r="C25" s="127" t="s">
        <v>244</v>
      </c>
      <c r="D25" s="128">
        <f>i_Inputs!$D$55</f>
        <v>1</v>
      </c>
      <c r="E25" s="3"/>
    </row>
    <row r="26" spans="1:5" ht="17" outlineLevel="1" thickBot="1" x14ac:dyDescent="0.25">
      <c r="B26" s="6" t="s">
        <v>282</v>
      </c>
      <c r="C26" s="137" t="s">
        <v>56</v>
      </c>
      <c r="D26" s="208">
        <f>IF(D25=1,D22,D24)</f>
        <v>0.10201850000000001</v>
      </c>
      <c r="E26" s="3"/>
    </row>
    <row r="27" spans="1:5" s="57" customFormat="1" ht="17" thickTop="1" x14ac:dyDescent="0.2">
      <c r="C27" s="117"/>
      <c r="D27" s="58"/>
      <c r="E27" s="58"/>
    </row>
    <row r="28" spans="1:5" s="94" customFormat="1" x14ac:dyDescent="0.2">
      <c r="A28" s="88" t="s">
        <v>126</v>
      </c>
      <c r="B28" s="109" t="s">
        <v>121</v>
      </c>
      <c r="C28" s="88"/>
    </row>
    <row r="29" spans="1:5" s="57" customFormat="1" outlineLevel="1" x14ac:dyDescent="0.2">
      <c r="C29" s="117"/>
      <c r="D29" s="58"/>
      <c r="E29" s="58"/>
    </row>
    <row r="30" spans="1:5" outlineLevel="1" x14ac:dyDescent="0.2">
      <c r="B30" s="3" t="s">
        <v>315</v>
      </c>
      <c r="C30" s="86" t="s">
        <v>56</v>
      </c>
      <c r="D30" s="121">
        <f>$D$26*(1+i_Scenario_Manager!$D$26)</f>
        <v>0.10201850000000001</v>
      </c>
      <c r="E30" s="3"/>
    </row>
    <row r="31" spans="1:5" outlineLevel="1" x14ac:dyDescent="0.2">
      <c r="B31" s="3" t="s">
        <v>316</v>
      </c>
      <c r="C31" s="86" t="s">
        <v>56</v>
      </c>
      <c r="D31" s="121">
        <f>i_Inputs!$D$57*(1+i_Scenario_Manager!$D$27)</f>
        <v>0.04</v>
      </c>
      <c r="E31" s="3"/>
    </row>
    <row r="32" spans="1:5" outlineLevel="1" x14ac:dyDescent="0.2">
      <c r="B32" s="3" t="s">
        <v>238</v>
      </c>
      <c r="C32" s="86" t="s">
        <v>210</v>
      </c>
      <c r="D32" s="129">
        <f>i_Inputs!$D$68</f>
        <v>0.5</v>
      </c>
      <c r="E32" s="3"/>
    </row>
    <row r="33" spans="2:9" outlineLevel="1" x14ac:dyDescent="0.2">
      <c r="B33" s="3"/>
      <c r="C33" s="86"/>
      <c r="D33" s="130"/>
      <c r="E33" s="3"/>
    </row>
    <row r="34" spans="2:9" s="51" customFormat="1" ht="17" outlineLevel="1" thickBot="1" x14ac:dyDescent="0.25">
      <c r="B34" s="131" t="s">
        <v>292</v>
      </c>
      <c r="C34" s="132"/>
      <c r="D34" s="133"/>
      <c r="E34" s="134" t="str">
        <f>o_FS!E4</f>
        <v>2024A</v>
      </c>
      <c r="F34" s="134" t="str">
        <f>o_FS!F4</f>
        <v>2025A</v>
      </c>
      <c r="G34" s="134" t="str">
        <f>o_FS!G4</f>
        <v>2026E</v>
      </c>
      <c r="H34" s="134" t="str">
        <f>o_FS!H4</f>
        <v>2027E</v>
      </c>
      <c r="I34" s="134" t="str">
        <f>o_FS!I4</f>
        <v>2028E</v>
      </c>
    </row>
    <row r="35" spans="2:9" outlineLevel="1" x14ac:dyDescent="0.2">
      <c r="B35" s="3" t="s">
        <v>239</v>
      </c>
      <c r="C35" s="135" t="s">
        <v>244</v>
      </c>
      <c r="D35" s="18"/>
      <c r="E35" s="17">
        <f>IF(RIGHT(E$34,1)="E",1,0)</f>
        <v>0</v>
      </c>
      <c r="F35" s="17">
        <f>IF(RIGHT(F$34,1)="E",1,0)</f>
        <v>0</v>
      </c>
      <c r="G35" s="17">
        <f>IF(RIGHT(G$34,1)="E",1,0)</f>
        <v>1</v>
      </c>
      <c r="H35" s="17">
        <f>IF(RIGHT(H$34,1)="E",1,0)</f>
        <v>1</v>
      </c>
      <c r="I35" s="17">
        <f>IF(RIGHT(I$34,1)="E",1,0)</f>
        <v>1</v>
      </c>
    </row>
    <row r="36" spans="2:9" outlineLevel="1" x14ac:dyDescent="0.2">
      <c r="B36" s="3" t="s">
        <v>240</v>
      </c>
      <c r="C36" s="86" t="s">
        <v>210</v>
      </c>
      <c r="D36" s="18"/>
      <c r="E36" s="136">
        <f>IF(E35=1,SUM($E35:E35)-$D$32,0)</f>
        <v>0</v>
      </c>
      <c r="F36" s="136">
        <f>IF(F35=1,SUM($E35:F35)-$D$32,0)</f>
        <v>0</v>
      </c>
      <c r="G36" s="136">
        <f>IF(G35=1,SUM($E35:G35)-$D$32,0)</f>
        <v>0.5</v>
      </c>
      <c r="H36" s="136">
        <f>IF(H35=1,SUM($E35:H35)-$D$32,0)</f>
        <v>1.5</v>
      </c>
      <c r="I36" s="136">
        <f>IF(I35=1,SUM($E35:I35)-$D$32,0)</f>
        <v>2.5</v>
      </c>
    </row>
    <row r="37" spans="2:9" outlineLevel="1" x14ac:dyDescent="0.2">
      <c r="B37" s="3" t="s">
        <v>241</v>
      </c>
      <c r="C37" s="135" t="s">
        <v>244</v>
      </c>
      <c r="D37" s="18"/>
      <c r="E37" s="17">
        <f>IF(AND(E35=1,E36=MAX($E$36:$I$36)),1,0)</f>
        <v>0</v>
      </c>
      <c r="F37" s="17">
        <f t="shared" ref="F37:I37" si="0">IF(AND(F35=1,F36=MAX($E$36:$I$36)),1,0)</f>
        <v>0</v>
      </c>
      <c r="G37" s="17">
        <f t="shared" si="0"/>
        <v>0</v>
      </c>
      <c r="H37" s="17">
        <f t="shared" si="0"/>
        <v>0</v>
      </c>
      <c r="I37" s="17">
        <f t="shared" si="0"/>
        <v>1</v>
      </c>
    </row>
    <row r="38" spans="2:9" outlineLevel="1" x14ac:dyDescent="0.2">
      <c r="B38" s="3"/>
      <c r="C38" s="135"/>
      <c r="D38" s="18"/>
      <c r="E38" s="17"/>
      <c r="F38" s="17"/>
      <c r="G38" s="17"/>
      <c r="H38" s="17"/>
      <c r="I38" s="17"/>
    </row>
    <row r="39" spans="2:9" outlineLevel="1" x14ac:dyDescent="0.2">
      <c r="B39" s="3" t="s">
        <v>245</v>
      </c>
      <c r="C39" s="86" t="s">
        <v>6</v>
      </c>
      <c r="D39" s="18"/>
      <c r="E39" s="17">
        <f>o_FS!E35</f>
        <v>-34486.300000000003</v>
      </c>
      <c r="F39" s="17">
        <f>o_FS!F35</f>
        <v>48622.119999999995</v>
      </c>
      <c r="G39" s="17">
        <f>o_FS!G35</f>
        <v>39064.744648972614</v>
      </c>
      <c r="H39" s="17">
        <f>o_FS!H35</f>
        <v>91447.670551303483</v>
      </c>
      <c r="I39" s="17">
        <f>o_FS!I35</f>
        <v>188373.00718525331</v>
      </c>
    </row>
    <row r="40" spans="2:9" outlineLevel="1" x14ac:dyDescent="0.2">
      <c r="B40" s="3" t="s">
        <v>242</v>
      </c>
      <c r="C40" s="86" t="s">
        <v>67</v>
      </c>
      <c r="D40" s="18"/>
      <c r="E40" s="136">
        <f>IF(E35=1,1/(1+$D$30)^E36,0)</f>
        <v>0</v>
      </c>
      <c r="F40" s="136">
        <f t="shared" ref="F40:I40" si="1">IF(F35=1,1/(1+$D$30)^F36,0)</f>
        <v>0</v>
      </c>
      <c r="G40" s="136">
        <f t="shared" si="1"/>
        <v>0.9525889894280265</v>
      </c>
      <c r="H40" s="136">
        <f t="shared" si="1"/>
        <v>0.86440380939886807</v>
      </c>
      <c r="I40" s="136">
        <f t="shared" si="1"/>
        <v>0.78438230338135706</v>
      </c>
    </row>
    <row r="41" spans="2:9" s="51" customFormat="1" ht="17" outlineLevel="1" thickBot="1" x14ac:dyDescent="0.25">
      <c r="B41" s="6" t="s">
        <v>288</v>
      </c>
      <c r="C41" s="137" t="s">
        <v>6</v>
      </c>
      <c r="D41" s="138"/>
      <c r="E41" s="29">
        <f>E39*E40</f>
        <v>0</v>
      </c>
      <c r="F41" s="29">
        <f t="shared" ref="F41:I41" si="2">F39*F40</f>
        <v>0</v>
      </c>
      <c r="G41" s="29">
        <f t="shared" si="2"/>
        <v>37212.645627428727</v>
      </c>
      <c r="H41" s="29">
        <f t="shared" si="2"/>
        <v>79047.714785199423</v>
      </c>
      <c r="I41" s="29">
        <f t="shared" si="2"/>
        <v>147756.45327084191</v>
      </c>
    </row>
    <row r="42" spans="2:9" ht="17" outlineLevel="1" thickTop="1" x14ac:dyDescent="0.2">
      <c r="B42" s="3"/>
      <c r="C42" s="86"/>
      <c r="D42" s="18"/>
      <c r="E42" s="139"/>
      <c r="F42" s="139"/>
      <c r="G42" s="139"/>
      <c r="H42" s="139"/>
      <c r="I42" s="139"/>
    </row>
    <row r="43" spans="2:9" outlineLevel="1" x14ac:dyDescent="0.2">
      <c r="B43" s="3" t="s">
        <v>246</v>
      </c>
      <c r="C43" s="86" t="s">
        <v>6</v>
      </c>
      <c r="D43" s="140">
        <f>SUM(E41:I41)</f>
        <v>264016.81368347007</v>
      </c>
      <c r="E43" s="139"/>
      <c r="F43" s="139"/>
      <c r="G43" s="139"/>
      <c r="H43" s="139"/>
      <c r="I43" s="139"/>
    </row>
    <row r="44" spans="2:9" outlineLevel="1" x14ac:dyDescent="0.2">
      <c r="B44" s="3" t="s">
        <v>243</v>
      </c>
      <c r="C44" s="86" t="s">
        <v>6</v>
      </c>
      <c r="D44" s="140">
        <f>SUMPRODUCT(E37:I37,E39:I39)</f>
        <v>188373.00718525331</v>
      </c>
      <c r="E44" s="3"/>
    </row>
    <row r="45" spans="2:9" outlineLevel="1" x14ac:dyDescent="0.2">
      <c r="B45" s="3" t="s">
        <v>95</v>
      </c>
      <c r="C45" s="86" t="s">
        <v>6</v>
      </c>
      <c r="D45" s="140">
        <f>D44*(1+D31)/(D30-D31)</f>
        <v>3158862.7179416372</v>
      </c>
      <c r="E45" s="3"/>
    </row>
    <row r="46" spans="2:9" outlineLevel="1" x14ac:dyDescent="0.2">
      <c r="B46" s="3" t="s">
        <v>96</v>
      </c>
      <c r="C46" s="86" t="s">
        <v>6</v>
      </c>
      <c r="D46" s="140">
        <f>D45*SUMPRODUCT(E37:I37,E40:I40)</f>
        <v>2477756.0147645553</v>
      </c>
      <c r="E46" s="3"/>
    </row>
    <row r="47" spans="2:9" outlineLevel="1" x14ac:dyDescent="0.2">
      <c r="B47" s="209" t="s">
        <v>97</v>
      </c>
      <c r="C47" s="210" t="s">
        <v>6</v>
      </c>
      <c r="D47" s="211">
        <f>D43+D46</f>
        <v>2741772.8284480255</v>
      </c>
      <c r="E47" s="3"/>
    </row>
    <row r="48" spans="2:9" outlineLevel="1" x14ac:dyDescent="0.2">
      <c r="B48" s="3" t="s">
        <v>166</v>
      </c>
      <c r="C48" s="86" t="s">
        <v>6</v>
      </c>
      <c r="D48" s="139">
        <f>i_Historical!F32</f>
        <v>357038</v>
      </c>
      <c r="E48" s="3"/>
    </row>
    <row r="49" spans="1:5" outlineLevel="1" x14ac:dyDescent="0.2">
      <c r="B49" s="3" t="s">
        <v>98</v>
      </c>
      <c r="C49" s="86" t="s">
        <v>6</v>
      </c>
      <c r="D49" s="139">
        <f>-i_Historical!F41</f>
        <v>-527</v>
      </c>
      <c r="E49" s="3"/>
    </row>
    <row r="50" spans="1:5" outlineLevel="1" x14ac:dyDescent="0.2">
      <c r="B50" s="3" t="s">
        <v>99</v>
      </c>
      <c r="C50" s="86" t="s">
        <v>6</v>
      </c>
      <c r="D50" s="139">
        <f>-i_Historical!F42</f>
        <v>-107037</v>
      </c>
      <c r="E50" s="3"/>
    </row>
    <row r="51" spans="1:5" outlineLevel="1" x14ac:dyDescent="0.2">
      <c r="B51" s="209" t="s">
        <v>100</v>
      </c>
      <c r="C51" s="210" t="s">
        <v>6</v>
      </c>
      <c r="D51" s="212">
        <f>D47+D48+D49+D50</f>
        <v>2991246.8284480255</v>
      </c>
      <c r="E51" s="3"/>
    </row>
    <row r="52" spans="1:5" outlineLevel="1" x14ac:dyDescent="0.2">
      <c r="B52" s="3" t="s">
        <v>101</v>
      </c>
      <c r="C52" s="86" t="s">
        <v>46</v>
      </c>
      <c r="D52" s="141">
        <f>i_Inputs!$D$61</f>
        <v>31223</v>
      </c>
      <c r="E52" s="3"/>
    </row>
    <row r="53" spans="1:5" outlineLevel="1" x14ac:dyDescent="0.2">
      <c r="B53" s="209" t="s">
        <v>102</v>
      </c>
      <c r="C53" s="210" t="s">
        <v>103</v>
      </c>
      <c r="D53" s="213">
        <f>D51/D52</f>
        <v>95.802672018961204</v>
      </c>
      <c r="E53" s="3"/>
    </row>
    <row r="55" spans="1:5" s="94" customFormat="1" x14ac:dyDescent="0.2">
      <c r="A55" s="88" t="s">
        <v>126</v>
      </c>
      <c r="B55" s="109" t="s">
        <v>122</v>
      </c>
      <c r="C55" s="88"/>
    </row>
    <row r="56" spans="1:5" outlineLevel="1" x14ac:dyDescent="0.2">
      <c r="A56" s="85"/>
      <c r="B56" s="52"/>
    </row>
    <row r="57" spans="1:5" outlineLevel="1" x14ac:dyDescent="0.2">
      <c r="B57" s="3" t="s">
        <v>235</v>
      </c>
      <c r="C57" s="86" t="s">
        <v>6</v>
      </c>
      <c r="D57" s="139">
        <f>o_FS!G8</f>
        <v>2563281.25</v>
      </c>
      <c r="E57" s="3"/>
    </row>
    <row r="58" spans="1:5" outlineLevel="1" x14ac:dyDescent="0.2">
      <c r="B58" s="126" t="s">
        <v>104</v>
      </c>
      <c r="C58" s="127" t="s">
        <v>67</v>
      </c>
      <c r="D58" s="142">
        <f>i_Inputs!$D$58</f>
        <v>2.5</v>
      </c>
      <c r="E58" s="3"/>
    </row>
    <row r="59" spans="1:5" outlineLevel="1" x14ac:dyDescent="0.2">
      <c r="B59" s="5" t="s">
        <v>105</v>
      </c>
      <c r="C59" s="143" t="s">
        <v>6</v>
      </c>
      <c r="D59" s="144">
        <f>D57*D58</f>
        <v>6408203.125</v>
      </c>
      <c r="E59" s="3"/>
    </row>
    <row r="60" spans="1:5" outlineLevel="1" x14ac:dyDescent="0.2">
      <c r="B60" s="5" t="s">
        <v>106</v>
      </c>
      <c r="C60" s="143" t="s">
        <v>6</v>
      </c>
      <c r="D60" s="144">
        <f>D59+D48+D49+D50</f>
        <v>6657677.125</v>
      </c>
      <c r="E60" s="3"/>
    </row>
    <row r="61" spans="1:5" outlineLevel="1" x14ac:dyDescent="0.2">
      <c r="B61" s="209" t="s">
        <v>107</v>
      </c>
      <c r="C61" s="210" t="s">
        <v>103</v>
      </c>
      <c r="D61" s="213">
        <f>D60/D52</f>
        <v>213.22989863241841</v>
      </c>
      <c r="E61" s="3"/>
    </row>
    <row r="62" spans="1:5" outlineLevel="1" x14ac:dyDescent="0.2">
      <c r="B62" s="10"/>
      <c r="C62" s="43"/>
      <c r="D62" s="47"/>
      <c r="E62" s="3"/>
    </row>
    <row r="63" spans="1:5" outlineLevel="1" x14ac:dyDescent="0.2">
      <c r="B63" s="3" t="s">
        <v>234</v>
      </c>
      <c r="C63" s="86" t="s">
        <v>6</v>
      </c>
      <c r="D63" s="139">
        <f>o_FS!G20</f>
        <v>92570.71875</v>
      </c>
      <c r="E63" s="3"/>
    </row>
    <row r="64" spans="1:5" outlineLevel="1" x14ac:dyDescent="0.2">
      <c r="B64" s="126" t="s">
        <v>108</v>
      </c>
      <c r="C64" s="127" t="s">
        <v>67</v>
      </c>
      <c r="D64" s="142">
        <f>i_Inputs!$D$59</f>
        <v>20</v>
      </c>
      <c r="E64" s="3"/>
    </row>
    <row r="65" spans="1:5" outlineLevel="1" x14ac:dyDescent="0.2">
      <c r="B65" s="5" t="s">
        <v>109</v>
      </c>
      <c r="C65" s="143" t="s">
        <v>6</v>
      </c>
      <c r="D65" s="144">
        <f>D63*D64</f>
        <v>1851414.375</v>
      </c>
      <c r="E65" s="3"/>
    </row>
    <row r="66" spans="1:5" outlineLevel="1" x14ac:dyDescent="0.2">
      <c r="B66" s="5" t="s">
        <v>110</v>
      </c>
      <c r="C66" s="143" t="s">
        <v>6</v>
      </c>
      <c r="D66" s="144">
        <f>D65+D48+D49+D50</f>
        <v>2100888.375</v>
      </c>
      <c r="E66" s="3"/>
    </row>
    <row r="67" spans="1:5" outlineLevel="1" x14ac:dyDescent="0.2">
      <c r="B67" s="209" t="s">
        <v>111</v>
      </c>
      <c r="C67" s="210" t="s">
        <v>103</v>
      </c>
      <c r="D67" s="213">
        <f>D66/D52</f>
        <v>67.286563590942578</v>
      </c>
      <c r="E67" s="3"/>
    </row>
    <row r="69" spans="1:5" s="94" customFormat="1" x14ac:dyDescent="0.2">
      <c r="A69" s="88" t="s">
        <v>126</v>
      </c>
      <c r="B69" s="109" t="s">
        <v>123</v>
      </c>
      <c r="C69" s="88"/>
    </row>
    <row r="70" spans="1:5" outlineLevel="1" x14ac:dyDescent="0.2">
      <c r="A70" s="85"/>
      <c r="B70" s="52"/>
    </row>
    <row r="71" spans="1:5" outlineLevel="1" x14ac:dyDescent="0.2">
      <c r="A71" s="85"/>
      <c r="B71" s="1" t="str">
        <f>i_Inputs!B67</f>
        <v>DCF Weight</v>
      </c>
      <c r="C71" s="145" t="str">
        <f>i_Inputs!C67</f>
        <v>%</v>
      </c>
      <c r="D71" s="146">
        <f>i_Inputs!D67</f>
        <v>0.5</v>
      </c>
    </row>
    <row r="72" spans="1:5" outlineLevel="1" x14ac:dyDescent="0.2">
      <c r="A72" s="85"/>
      <c r="B72" s="1" t="s">
        <v>296</v>
      </c>
      <c r="C72" s="145" t="s">
        <v>295</v>
      </c>
      <c r="D72" s="60" t="str">
        <f>i_Inputs!D65</f>
        <v>Target EV / Sales Multiple</v>
      </c>
    </row>
    <row r="73" spans="1:5" outlineLevel="1" x14ac:dyDescent="0.2">
      <c r="A73" s="85"/>
      <c r="B73" s="52"/>
    </row>
    <row r="74" spans="1:5" outlineLevel="1" x14ac:dyDescent="0.2">
      <c r="B74" s="214" t="s">
        <v>112</v>
      </c>
      <c r="C74" s="215" t="s">
        <v>6</v>
      </c>
      <c r="D74" s="216">
        <f>D47*$D$71 + IF($D$72 = i_Inputs!$B$58, D59, IF($D$72 = i_Inputs!$B$59, D65, D47))*(1-$D$71)</f>
        <v>4574987.9767240128</v>
      </c>
      <c r="E74" s="10"/>
    </row>
    <row r="75" spans="1:5" ht="17" outlineLevel="1" thickBot="1" x14ac:dyDescent="0.25">
      <c r="B75" s="217" t="s">
        <v>113</v>
      </c>
      <c r="C75" s="218" t="s">
        <v>6</v>
      </c>
      <c r="D75" s="219">
        <f>D74+D48+D49+D50</f>
        <v>4824461.9767240128</v>
      </c>
      <c r="E75" s="10"/>
    </row>
    <row r="76" spans="1:5" outlineLevel="1" x14ac:dyDescent="0.2">
      <c r="B76" s="10"/>
      <c r="C76" s="43"/>
      <c r="D76" s="47"/>
      <c r="E76" s="10"/>
    </row>
    <row r="77" spans="1:5" outlineLevel="1" x14ac:dyDescent="0.2">
      <c r="B77" s="3" t="s">
        <v>73</v>
      </c>
      <c r="C77" s="86" t="s">
        <v>6</v>
      </c>
      <c r="D77" s="139">
        <f>i_Inputs!$D$63*(1+i_Scenario_Manager!$D$31)</f>
        <v>500000</v>
      </c>
      <c r="E77" s="10"/>
    </row>
    <row r="78" spans="1:5" ht="17" outlineLevel="1" thickBot="1" x14ac:dyDescent="0.25">
      <c r="B78" s="220" t="s">
        <v>114</v>
      </c>
      <c r="C78" s="221" t="s">
        <v>6</v>
      </c>
      <c r="D78" s="222">
        <f>D75+D77</f>
        <v>5324461.9767240128</v>
      </c>
      <c r="E78" s="10"/>
    </row>
    <row r="79" spans="1:5" ht="17" outlineLevel="1" thickTop="1" x14ac:dyDescent="0.2">
      <c r="B79" s="10"/>
      <c r="C79" s="43"/>
      <c r="D79" s="47"/>
      <c r="E79" s="10"/>
    </row>
    <row r="80" spans="1:5" outlineLevel="1" x14ac:dyDescent="0.2">
      <c r="B80" s="3" t="s">
        <v>115</v>
      </c>
      <c r="C80" s="86" t="s">
        <v>103</v>
      </c>
      <c r="D80" s="147">
        <f>D75/D52</f>
        <v>154.51628532568981</v>
      </c>
      <c r="E80" s="10"/>
    </row>
    <row r="81" spans="1:8" outlineLevel="1" x14ac:dyDescent="0.2">
      <c r="B81" s="209" t="s">
        <v>290</v>
      </c>
      <c r="C81" s="210" t="s">
        <v>103</v>
      </c>
      <c r="D81" s="213">
        <f>D80*(1-i_Inputs!$D$62)</f>
        <v>143.70014535289152</v>
      </c>
      <c r="E81" s="10"/>
    </row>
    <row r="82" spans="1:8" x14ac:dyDescent="0.2">
      <c r="E82" s="10"/>
    </row>
    <row r="83" spans="1:8" s="94" customFormat="1" x14ac:dyDescent="0.2">
      <c r="A83" s="88" t="s">
        <v>126</v>
      </c>
      <c r="B83" s="109" t="s">
        <v>326</v>
      </c>
      <c r="C83" s="88"/>
    </row>
    <row r="84" spans="1:8" outlineLevel="1" x14ac:dyDescent="0.2">
      <c r="B84" s="110" t="s">
        <v>291</v>
      </c>
    </row>
    <row r="85" spans="1:8" outlineLevel="1" x14ac:dyDescent="0.2"/>
    <row r="86" spans="1:8" outlineLevel="1" x14ac:dyDescent="0.2">
      <c r="B86" s="82" t="s">
        <v>325</v>
      </c>
      <c r="C86" s="83"/>
      <c r="D86" s="223">
        <f>$F$86-1</f>
        <v>1.5</v>
      </c>
      <c r="E86" s="223">
        <f>$F$86-0.5</f>
        <v>2</v>
      </c>
      <c r="F86" s="223">
        <f>i_Inputs!$D$58</f>
        <v>2.5</v>
      </c>
      <c r="G86" s="223">
        <f>$F$86+0.5</f>
        <v>3</v>
      </c>
      <c r="H86" s="223">
        <f>F86+1</f>
        <v>3.5</v>
      </c>
    </row>
    <row r="87" spans="1:8" outlineLevel="1" x14ac:dyDescent="0.2">
      <c r="B87" s="148">
        <f>-i_Inputs!$D$69</f>
        <v>-0.05</v>
      </c>
      <c r="C87" s="149" t="s">
        <v>103</v>
      </c>
      <c r="D87" s="150">
        <f>(o_FS!$G$8*(1+$B87)*D$86+$D$48+$D$49+$D$50)/$D$52</f>
        <v>124.97677293181309</v>
      </c>
      <c r="E87" s="150">
        <f>(o_FS!$G$8*(1+$B87)*E$86+$D$48+$D$49+$D$50)/$D$52</f>
        <v>163.972340101848</v>
      </c>
      <c r="F87" s="150">
        <f>(o_FS!$G$8*(1+$B87)*F$86+$D$48+$D$49+$D$50)/$D$52</f>
        <v>202.96790727188289</v>
      </c>
      <c r="G87" s="150">
        <f>(o_FS!$G$8*(1+$B87)*G$86+$D$48+$D$49+$D$50)/$D$52</f>
        <v>241.96347444191781</v>
      </c>
      <c r="H87" s="150">
        <f>(o_FS!$G$8*(1+$B87)*H$86+$D$48+$D$49+$D$50)/$D$52</f>
        <v>280.95904161195273</v>
      </c>
    </row>
    <row r="88" spans="1:8" outlineLevel="1" x14ac:dyDescent="0.2">
      <c r="B88" s="148">
        <v>0</v>
      </c>
      <c r="C88" s="149" t="s">
        <v>103</v>
      </c>
      <c r="D88" s="150">
        <f>(o_FS!$G$8*(1+$B88)*D$86+$D$48+$D$49+$D$50)/$D$52</f>
        <v>131.13396774813438</v>
      </c>
      <c r="E88" s="150">
        <f>(o_FS!$G$8*(1+$B88)*E$86+$D$48+$D$49+$D$50)/$D$52</f>
        <v>172.1819331902764</v>
      </c>
      <c r="F88" s="151">
        <f>(o_FS!$G$8*(1+$B88)*F$86+$D$48+$D$49+$D$50)/$D$52</f>
        <v>213.22989863241841</v>
      </c>
      <c r="G88" s="150">
        <f>(o_FS!$G$8*(1+$B88)*G$86+$D$48+$D$49+$D$50)/$D$52</f>
        <v>254.27786407456043</v>
      </c>
      <c r="H88" s="150">
        <f>(o_FS!$G$8*(1+$B88)*H$86+$D$48+$D$49+$D$50)/$D$52</f>
        <v>295.32582951670241</v>
      </c>
    </row>
    <row r="89" spans="1:8" outlineLevel="1" x14ac:dyDescent="0.2">
      <c r="B89" s="148">
        <f>i_Inputs!$D$69</f>
        <v>0.05</v>
      </c>
      <c r="C89" s="149" t="s">
        <v>103</v>
      </c>
      <c r="D89" s="150">
        <f>(o_FS!$G$8*(1+$B89)*D$86+$D$48+$D$49+$D$50)/$D$52</f>
        <v>137.2911625644557</v>
      </c>
      <c r="E89" s="150">
        <f>(o_FS!$G$8*(1+$B89)*E$86+$D$48+$D$49+$D$50)/$D$52</f>
        <v>180.39152627870479</v>
      </c>
      <c r="F89" s="150">
        <f>(o_FS!$G$8*(1+$B89)*F$86+$D$48+$D$49+$D$50)/$D$52</f>
        <v>223.4918899929539</v>
      </c>
      <c r="G89" s="150">
        <f>(o_FS!$G$8*(1+$B89)*G$86+$D$48+$D$49+$D$50)/$D$52</f>
        <v>266.59225370720304</v>
      </c>
      <c r="H89" s="150">
        <f>(o_FS!$G$8*(1+$B89)*H$86+$D$48+$D$49+$D$50)/$D$52</f>
        <v>309.69261742145216</v>
      </c>
    </row>
    <row r="91" spans="1:8" s="94" customFormat="1" x14ac:dyDescent="0.2">
      <c r="A91" s="88" t="s">
        <v>126</v>
      </c>
      <c r="B91" s="109" t="s">
        <v>118</v>
      </c>
      <c r="C91" s="88"/>
    </row>
  </sheetData>
  <sheetProtection algorithmName="SHA-512" hashValue="44Zk/J5ugrbWdiB86pV1kdYf2MNfYPRdhryQsIoCuTppH5QlUoj6eVbuH6wuxCMIgEZlAw25ch8OQDwwfWZJyw==" saltValue="q/OdvG72TQ8xMpYlkbUscg==" spinCount="100000" sheet="1" objects="1" scenarios="1"/>
  <pageMargins left="0.75" right="0.75" top="1" bottom="1" header="0.5" footer="0.5"/>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95FAC-DE8E-B743-B567-AED2AAADD22F}">
  <sheetPr>
    <tabColor theme="9"/>
  </sheetPr>
  <dimension ref="A1:I44"/>
  <sheetViews>
    <sheetView showGridLines="0" workbookViewId="0">
      <pane xSplit="4" ySplit="5" topLeftCell="E6" activePane="bottomRight" state="frozen"/>
      <selection pane="topRight"/>
      <selection pane="bottomLeft"/>
      <selection pane="bottomRight"/>
    </sheetView>
  </sheetViews>
  <sheetFormatPr baseColWidth="10" defaultRowHeight="16" outlineLevelRow="1" x14ac:dyDescent="0.2"/>
  <cols>
    <col min="1" max="1" width="3.83203125" style="1" customWidth="1"/>
    <col min="2" max="2" width="79.1640625" style="1" customWidth="1"/>
    <col min="3" max="3" width="6.1640625" style="1" customWidth="1"/>
    <col min="4" max="9" width="15.6640625" style="1" customWidth="1"/>
    <col min="10" max="16384" width="10.83203125" style="1"/>
  </cols>
  <sheetData>
    <row r="1" spans="1:9" ht="20" x14ac:dyDescent="0.2">
      <c r="A1" s="193" t="str">
        <f>Contents!$A1</f>
        <v>Bolt Technology OÜ|Pre-IPO Equity Valuation Model</v>
      </c>
    </row>
    <row r="2" spans="1:9" x14ac:dyDescent="0.2">
      <c r="A2" s="105" t="str">
        <f>Contents!$A2</f>
        <v>Source: Bolt Technology OÜ Consolidated Annual Report 2024-25 (AS PricewaterhouseCoopers audit)</v>
      </c>
    </row>
    <row r="4" spans="1:9" s="82" customFormat="1" x14ac:dyDescent="0.2">
      <c r="B4" s="83" t="s">
        <v>224</v>
      </c>
      <c r="C4" s="68"/>
      <c r="E4" s="68" t="str">
        <f>c_FS!E4</f>
        <v>2024A</v>
      </c>
      <c r="F4" s="68" t="str">
        <f>c_FS!F4</f>
        <v>2025A</v>
      </c>
      <c r="G4" s="68" t="str">
        <f>c_FS!G4</f>
        <v>2026E</v>
      </c>
      <c r="H4" s="68" t="str">
        <f>c_FS!H4</f>
        <v>2027E</v>
      </c>
      <c r="I4" s="68" t="str">
        <f>c_FS!I4</f>
        <v>2028E</v>
      </c>
    </row>
    <row r="5" spans="1:9" s="68" customFormat="1" x14ac:dyDescent="0.2">
      <c r="E5" s="68" t="str">
        <f>c_FS!E5</f>
        <v>Actual</v>
      </c>
      <c r="F5" s="68" t="str">
        <f>c_FS!F5</f>
        <v>Actual</v>
      </c>
      <c r="G5" s="68" t="str">
        <f>c_FS!G5</f>
        <v>Estimate</v>
      </c>
      <c r="H5" s="68" t="str">
        <f>c_FS!H5</f>
        <v>Estimate</v>
      </c>
      <c r="I5" s="68" t="str">
        <f>c_FS!I5</f>
        <v>Estimate</v>
      </c>
    </row>
    <row r="6" spans="1:9" s="94" customFormat="1" x14ac:dyDescent="0.2">
      <c r="A6" s="88" t="s">
        <v>126</v>
      </c>
      <c r="B6" s="109" t="s">
        <v>124</v>
      </c>
    </row>
    <row r="7" spans="1:9" outlineLevel="1" x14ac:dyDescent="0.2"/>
    <row r="8" spans="1:9" outlineLevel="1" x14ac:dyDescent="0.2">
      <c r="B8" s="3" t="s">
        <v>76</v>
      </c>
      <c r="D8" s="3"/>
      <c r="E8" s="17">
        <f>c_FS!E11</f>
        <v>1992054</v>
      </c>
      <c r="F8" s="17">
        <f>c_FS!F11</f>
        <v>2270854</v>
      </c>
      <c r="G8" s="17">
        <f>c_FS!G11</f>
        <v>2563281.25</v>
      </c>
      <c r="H8" s="17">
        <f>c_FS!H11</f>
        <v>2867849.1805000002</v>
      </c>
      <c r="I8" s="17">
        <f>c_FS!I11</f>
        <v>3172646.9490240002</v>
      </c>
    </row>
    <row r="9" spans="1:9" outlineLevel="1" x14ac:dyDescent="0.2">
      <c r="B9" s="3" t="s">
        <v>131</v>
      </c>
      <c r="D9" s="3"/>
      <c r="E9" s="17">
        <f>c_FS!E16</f>
        <v>-864477</v>
      </c>
      <c r="F9" s="17">
        <f>c_FS!F16</f>
        <v>-831240</v>
      </c>
      <c r="G9" s="17">
        <f>c_FS!G16</f>
        <v>-909964.84375</v>
      </c>
      <c r="H9" s="17">
        <f>c_FS!H16</f>
        <v>-1003747.213175</v>
      </c>
      <c r="I9" s="17">
        <f>c_FS!I16</f>
        <v>-1094563.1974132799</v>
      </c>
    </row>
    <row r="10" spans="1:9" outlineLevel="1" x14ac:dyDescent="0.2">
      <c r="B10" s="5" t="s">
        <v>11</v>
      </c>
      <c r="C10" s="112"/>
      <c r="D10" s="5"/>
      <c r="E10" s="24">
        <f>SUM(E8:E9)</f>
        <v>1127577</v>
      </c>
      <c r="F10" s="24">
        <f t="shared" ref="F10:I10" si="0">SUM(F8:F9)</f>
        <v>1439614</v>
      </c>
      <c r="G10" s="24">
        <f t="shared" si="0"/>
        <v>1653316.40625</v>
      </c>
      <c r="H10" s="24">
        <f t="shared" si="0"/>
        <v>1864101.9673250001</v>
      </c>
      <c r="I10" s="24">
        <f t="shared" si="0"/>
        <v>2078083.7516107203</v>
      </c>
    </row>
    <row r="11" spans="1:9" s="113" customFormat="1" outlineLevel="1" x14ac:dyDescent="0.2">
      <c r="B11" s="9" t="s">
        <v>77</v>
      </c>
      <c r="D11" s="9"/>
      <c r="E11" s="46">
        <f>E10/E8</f>
        <v>0.56603736645693337</v>
      </c>
      <c r="F11" s="46">
        <f>F10/F8</f>
        <v>0.63395268916451697</v>
      </c>
      <c r="G11" s="46">
        <f>G10/G8</f>
        <v>0.64500000000000002</v>
      </c>
      <c r="H11" s="46">
        <f>H10/H8</f>
        <v>0.65</v>
      </c>
      <c r="I11" s="46">
        <f>I10/I8</f>
        <v>0.65500000000000003</v>
      </c>
    </row>
    <row r="12" spans="1:9" outlineLevel="1" x14ac:dyDescent="0.2">
      <c r="B12" s="3" t="s">
        <v>17</v>
      </c>
      <c r="D12" s="3"/>
      <c r="E12" s="17">
        <f>c_FS!E18</f>
        <v>-795513</v>
      </c>
      <c r="F12" s="17">
        <f>c_FS!F18</f>
        <v>-1048370</v>
      </c>
      <c r="G12" s="17">
        <f>c_FS!G18</f>
        <v>-1153476.5625</v>
      </c>
      <c r="H12" s="17">
        <f>c_FS!H18</f>
        <v>-1218835.9017125</v>
      </c>
      <c r="I12" s="17">
        <f>c_FS!I18</f>
        <v>-1269058.7796096001</v>
      </c>
    </row>
    <row r="13" spans="1:9" outlineLevel="1" x14ac:dyDescent="0.2">
      <c r="B13" s="3" t="s">
        <v>15</v>
      </c>
      <c r="D13" s="3"/>
      <c r="E13" s="17">
        <f>c_FS!E19</f>
        <v>-107877</v>
      </c>
      <c r="F13" s="17">
        <f>c_FS!F19</f>
        <v>-127580</v>
      </c>
      <c r="G13" s="17">
        <f>c_FS!G19</f>
        <v>-128164.0625</v>
      </c>
      <c r="H13" s="17">
        <f>c_FS!H19</f>
        <v>-143392.45902500002</v>
      </c>
      <c r="I13" s="17">
        <f>c_FS!I19</f>
        <v>-158632.34745120001</v>
      </c>
    </row>
    <row r="14" spans="1:9" outlineLevel="1" x14ac:dyDescent="0.2">
      <c r="B14" s="3" t="s">
        <v>19</v>
      </c>
      <c r="D14" s="3"/>
      <c r="E14" s="17">
        <f>c_FS!E20</f>
        <v>-319933</v>
      </c>
      <c r="F14" s="17">
        <f>c_FS!F20</f>
        <v>-253032</v>
      </c>
      <c r="G14" s="17">
        <f>c_FS!G20</f>
        <v>-307593.75</v>
      </c>
      <c r="H14" s="17">
        <f>c_FS!H20</f>
        <v>-344141.90166000003</v>
      </c>
      <c r="I14" s="17">
        <f>c_FS!I20</f>
        <v>-380717.63388288004</v>
      </c>
    </row>
    <row r="15" spans="1:9" outlineLevel="1" x14ac:dyDescent="0.2">
      <c r="B15" s="3" t="s">
        <v>21</v>
      </c>
      <c r="C15" s="3"/>
      <c r="D15" s="3"/>
      <c r="E15" s="17">
        <f>c_FS!E21</f>
        <v>-8913</v>
      </c>
      <c r="F15" s="17">
        <f>c_FS!F21</f>
        <v>-13131</v>
      </c>
      <c r="G15" s="17">
        <f>c_FS!G21</f>
        <v>-51265.625</v>
      </c>
      <c r="H15" s="17">
        <f>c_FS!H21</f>
        <v>-57356.983610000003</v>
      </c>
      <c r="I15" s="17">
        <f>c_FS!I21</f>
        <v>-63452.938980480008</v>
      </c>
    </row>
    <row r="16" spans="1:9" outlineLevel="1" x14ac:dyDescent="0.2">
      <c r="B16" s="3" t="s">
        <v>13</v>
      </c>
      <c r="D16" s="3"/>
      <c r="E16" s="17">
        <f>c_FS!E22</f>
        <v>16924</v>
      </c>
      <c r="F16" s="17">
        <f>c_FS!F22</f>
        <v>21953</v>
      </c>
      <c r="G16" s="17">
        <f>c_FS!G22</f>
        <v>25632.8125</v>
      </c>
      <c r="H16" s="17">
        <f>c_FS!H22</f>
        <v>28678.491805000001</v>
      </c>
      <c r="I16" s="17">
        <f>c_FS!I22</f>
        <v>31726.469490240004</v>
      </c>
    </row>
    <row r="17" spans="1:9" outlineLevel="1" x14ac:dyDescent="0.2">
      <c r="B17" s="5" t="s">
        <v>23</v>
      </c>
      <c r="C17" s="112"/>
      <c r="D17" s="5"/>
      <c r="E17" s="24">
        <f>E10+SUM(E12:E16)</f>
        <v>-87735</v>
      </c>
      <c r="F17" s="24">
        <f t="shared" ref="F17:I17" si="1">F10+SUM(F12:F16)</f>
        <v>19454</v>
      </c>
      <c r="G17" s="24">
        <f t="shared" si="1"/>
        <v>38449.21875</v>
      </c>
      <c r="H17" s="24">
        <f t="shared" si="1"/>
        <v>129053.21312250011</v>
      </c>
      <c r="I17" s="24">
        <f t="shared" si="1"/>
        <v>237948.52117680036</v>
      </c>
    </row>
    <row r="18" spans="1:9" s="85" customFormat="1" outlineLevel="1" x14ac:dyDescent="0.2">
      <c r="B18" s="9" t="s">
        <v>79</v>
      </c>
      <c r="D18" s="9"/>
      <c r="E18" s="46">
        <f>E17/E8</f>
        <v>-4.4042480776123535E-2</v>
      </c>
      <c r="F18" s="46">
        <f>F17/F8</f>
        <v>8.5668211166371779E-3</v>
      </c>
      <c r="G18" s="46">
        <f>G17/G8</f>
        <v>1.4999999999999999E-2</v>
      </c>
      <c r="H18" s="46">
        <f>H17/H8</f>
        <v>4.5000000000000033E-2</v>
      </c>
      <c r="I18" s="46">
        <f>I17/I8</f>
        <v>7.5000000000000108E-2</v>
      </c>
    </row>
    <row r="19" spans="1:9" outlineLevel="1" x14ac:dyDescent="0.2">
      <c r="B19" s="3" t="s">
        <v>206</v>
      </c>
      <c r="D19" s="3"/>
      <c r="E19" s="33">
        <f>-c_FS!E37</f>
        <v>57437</v>
      </c>
      <c r="F19" s="33">
        <f>-c_FS!F37</f>
        <v>57218</v>
      </c>
      <c r="G19" s="33">
        <f>-c_FS!G37</f>
        <v>54121.5</v>
      </c>
      <c r="H19" s="33">
        <f>-c_FS!H37</f>
        <v>54385.049999999996</v>
      </c>
      <c r="I19" s="33">
        <f>-c_FS!I37</f>
        <v>54569.535000000003</v>
      </c>
    </row>
    <row r="20" spans="1:9" outlineLevel="1" x14ac:dyDescent="0.2">
      <c r="B20" s="5" t="s">
        <v>80</v>
      </c>
      <c r="C20" s="112"/>
      <c r="D20" s="5"/>
      <c r="E20" s="24">
        <f>E17+E19</f>
        <v>-30298</v>
      </c>
      <c r="F20" s="24">
        <f>F17+F19</f>
        <v>76672</v>
      </c>
      <c r="G20" s="24">
        <f>G17+G19</f>
        <v>92570.71875</v>
      </c>
      <c r="H20" s="24">
        <f>H17+H19</f>
        <v>183438.2631225001</v>
      </c>
      <c r="I20" s="24">
        <f>I17+I19</f>
        <v>292518.0561768004</v>
      </c>
    </row>
    <row r="21" spans="1:9" s="85" customFormat="1" outlineLevel="1" x14ac:dyDescent="0.2">
      <c r="B21" s="9" t="s">
        <v>81</v>
      </c>
      <c r="D21" s="9"/>
      <c r="E21" s="46">
        <f>E20/E8</f>
        <v>-1.5209427053684287E-2</v>
      </c>
      <c r="F21" s="46">
        <f>F20/F8</f>
        <v>3.3763509234851732E-2</v>
      </c>
      <c r="G21" s="46">
        <f>G20/G8</f>
        <v>3.6114148125571476E-2</v>
      </c>
      <c r="H21" s="46">
        <f>H20/H8</f>
        <v>6.3963706449346208E-2</v>
      </c>
      <c r="I21" s="46">
        <f>I20/I8</f>
        <v>9.2200002356640276E-2</v>
      </c>
    </row>
    <row r="22" spans="1:9" outlineLevel="1" x14ac:dyDescent="0.2">
      <c r="B22" s="3" t="s">
        <v>82</v>
      </c>
      <c r="D22" s="3"/>
      <c r="E22" s="17">
        <f>c_FS!E58</f>
        <v>1686</v>
      </c>
      <c r="F22" s="17">
        <f>c_FS!F58</f>
        <v>-1291</v>
      </c>
      <c r="G22" s="17">
        <f>c_FS!G58</f>
        <v>-823.94660000000022</v>
      </c>
      <c r="H22" s="17">
        <f>c_FS!H58</f>
        <v>503.59455391147549</v>
      </c>
      <c r="I22" s="17">
        <f>c_FS!I58</f>
        <v>2939.6295948329671</v>
      </c>
    </row>
    <row r="23" spans="1:9" outlineLevel="1" x14ac:dyDescent="0.2">
      <c r="B23" s="3" t="s">
        <v>83</v>
      </c>
      <c r="D23" s="3"/>
      <c r="E23" s="33">
        <f>i_Historical!E25</f>
        <v>-1951</v>
      </c>
      <c r="F23" s="33">
        <f>i_Historical!F25</f>
        <v>-3882</v>
      </c>
      <c r="G23" s="33">
        <f>i_Inputs!G50</f>
        <v>0</v>
      </c>
      <c r="H23" s="33">
        <f>i_Inputs!H50</f>
        <v>0</v>
      </c>
      <c r="I23" s="33">
        <f>i_Inputs!I50</f>
        <v>0</v>
      </c>
    </row>
    <row r="24" spans="1:9" s="51" customFormat="1" outlineLevel="1" x14ac:dyDescent="0.2">
      <c r="B24" s="5" t="s">
        <v>84</v>
      </c>
      <c r="C24" s="114"/>
      <c r="D24" s="5"/>
      <c r="E24" s="61">
        <f>E17+SUM(E22:E23)</f>
        <v>-88000</v>
      </c>
      <c r="F24" s="61">
        <f t="shared" ref="F24:I24" si="2">F17+SUM(F22:F23)</f>
        <v>14281</v>
      </c>
      <c r="G24" s="61">
        <f t="shared" si="2"/>
        <v>37625.272149999997</v>
      </c>
      <c r="H24" s="61">
        <f t="shared" si="2"/>
        <v>129556.80767641158</v>
      </c>
      <c r="I24" s="61">
        <f t="shared" si="2"/>
        <v>240888.15077163334</v>
      </c>
    </row>
    <row r="25" spans="1:9" outlineLevel="1" x14ac:dyDescent="0.2">
      <c r="B25" s="3" t="s">
        <v>85</v>
      </c>
      <c r="D25" s="3"/>
      <c r="E25" s="33">
        <f>i_Historical!E27</f>
        <v>-14594</v>
      </c>
      <c r="F25" s="33">
        <f>i_Historical!F27</f>
        <v>-13361</v>
      </c>
      <c r="G25" s="33">
        <f>-MAX(0, G24)*i_Inputs!$D$49</f>
        <v>-8277.5598730000002</v>
      </c>
      <c r="H25" s="33">
        <f>-MAX(0, H24)*i_Inputs!$D$49</f>
        <v>-28502.497688810548</v>
      </c>
      <c r="I25" s="33">
        <f>-MAX(0, I24)*i_Inputs!$D$49</f>
        <v>-52995.393169759336</v>
      </c>
    </row>
    <row r="26" spans="1:9" ht="17" outlineLevel="1" thickBot="1" x14ac:dyDescent="0.25">
      <c r="B26" s="8" t="s">
        <v>86</v>
      </c>
      <c r="C26" s="89"/>
      <c r="D26" s="8"/>
      <c r="E26" s="41">
        <f>SUM(E24:E25)</f>
        <v>-102594</v>
      </c>
      <c r="F26" s="41">
        <f t="shared" ref="F26:I26" si="3">SUM(F24:F25)</f>
        <v>920</v>
      </c>
      <c r="G26" s="41">
        <f t="shared" si="3"/>
        <v>29347.712276999999</v>
      </c>
      <c r="H26" s="41">
        <f t="shared" si="3"/>
        <v>101054.30998760104</v>
      </c>
      <c r="I26" s="41">
        <f t="shared" si="3"/>
        <v>187892.75760187401</v>
      </c>
    </row>
    <row r="27" spans="1:9" s="85" customFormat="1" ht="17" outlineLevel="1" thickTop="1" x14ac:dyDescent="0.2">
      <c r="B27" s="9" t="s">
        <v>87</v>
      </c>
      <c r="D27" s="9"/>
      <c r="E27" s="46">
        <f>E26/E8</f>
        <v>-5.1501615920050363E-2</v>
      </c>
      <c r="F27" s="46">
        <f>F26/F8</f>
        <v>4.0513392758847555E-4</v>
      </c>
      <c r="G27" s="46">
        <f>G26/G8</f>
        <v>1.144927513397135E-2</v>
      </c>
      <c r="H27" s="46">
        <f>H26/H8</f>
        <v>3.523696806468133E-2</v>
      </c>
      <c r="I27" s="46">
        <f>I26/I8</f>
        <v>5.9222712334782587E-2</v>
      </c>
    </row>
    <row r="29" spans="1:9" s="94" customFormat="1" x14ac:dyDescent="0.2">
      <c r="A29" s="88" t="s">
        <v>126</v>
      </c>
      <c r="B29" s="109" t="s">
        <v>120</v>
      </c>
    </row>
    <row r="30" spans="1:9" outlineLevel="1" x14ac:dyDescent="0.2"/>
    <row r="31" spans="1:9" outlineLevel="1" x14ac:dyDescent="0.2">
      <c r="B31" s="3" t="s">
        <v>91</v>
      </c>
      <c r="D31" s="3"/>
      <c r="E31" s="17">
        <f>o_FS!E17*(1-i_Inputs!$D$49)</f>
        <v>-68433.3</v>
      </c>
      <c r="F31" s="17">
        <f>o_FS!F17*(1-i_Inputs!$D$49)</f>
        <v>15174.12</v>
      </c>
      <c r="G31" s="17">
        <f>o_FS!G17*(1-i_Inputs!$D$49)</f>
        <v>29990.390625</v>
      </c>
      <c r="H31" s="17">
        <f>o_FS!H17*(1-i_Inputs!$D$49)</f>
        <v>100661.50623555008</v>
      </c>
      <c r="I31" s="17">
        <f>o_FS!I17*(1-i_Inputs!$D$49)</f>
        <v>185599.84651790428</v>
      </c>
    </row>
    <row r="32" spans="1:9" outlineLevel="1" x14ac:dyDescent="0.2">
      <c r="B32" s="3" t="s">
        <v>198</v>
      </c>
      <c r="D32" s="3"/>
      <c r="E32" s="17">
        <f>o_FS!E19</f>
        <v>57437</v>
      </c>
      <c r="F32" s="17">
        <f>o_FS!F19</f>
        <v>57218</v>
      </c>
      <c r="G32" s="17">
        <f>o_FS!G19</f>
        <v>54121.5</v>
      </c>
      <c r="H32" s="17">
        <f>o_FS!H19</f>
        <v>54385.049999999996</v>
      </c>
      <c r="I32" s="17">
        <f>o_FS!I19</f>
        <v>54569.535000000003</v>
      </c>
    </row>
    <row r="33" spans="1:9" outlineLevel="1" x14ac:dyDescent="0.2">
      <c r="B33" s="3" t="s">
        <v>199</v>
      </c>
      <c r="D33" s="3"/>
      <c r="E33" s="33">
        <f>-c_FS!E36</f>
        <v>-24860</v>
      </c>
      <c r="F33" s="33">
        <f>-c_FS!F36</f>
        <v>-49348</v>
      </c>
      <c r="G33" s="33">
        <f>-c_FS!G36</f>
        <v>-55000</v>
      </c>
      <c r="H33" s="33">
        <f>-c_FS!H36</f>
        <v>-55000</v>
      </c>
      <c r="I33" s="33">
        <f>-c_FS!I36</f>
        <v>-55000</v>
      </c>
    </row>
    <row r="34" spans="1:9" outlineLevel="1" x14ac:dyDescent="0.2">
      <c r="B34" s="3" t="s">
        <v>200</v>
      </c>
      <c r="D34" s="3"/>
      <c r="E34" s="33">
        <f>-(c_FS!E31)</f>
        <v>1370</v>
      </c>
      <c r="F34" s="33">
        <f>-(c_FS!F31)</f>
        <v>25578</v>
      </c>
      <c r="G34" s="33">
        <f>-c_FS!G31</f>
        <v>9952.8540239726135</v>
      </c>
      <c r="H34" s="33">
        <f>-c_FS!H31</f>
        <v>-8598.8856842466048</v>
      </c>
      <c r="I34" s="33">
        <f>-c_FS!I31</f>
        <v>3203.6256673490279</v>
      </c>
    </row>
    <row r="35" spans="1:9" ht="17" outlineLevel="1" thickBot="1" x14ac:dyDescent="0.25">
      <c r="B35" s="8" t="s">
        <v>92</v>
      </c>
      <c r="C35" s="89"/>
      <c r="D35" s="8"/>
      <c r="E35" s="41">
        <f>SUM(E31:E34)</f>
        <v>-34486.300000000003</v>
      </c>
      <c r="F35" s="41">
        <f t="shared" ref="F35:I35" si="4">SUM(F31:F34)</f>
        <v>48622.119999999995</v>
      </c>
      <c r="G35" s="41">
        <f t="shared" si="4"/>
        <v>39064.744648972614</v>
      </c>
      <c r="H35" s="41">
        <f t="shared" si="4"/>
        <v>91447.670551303483</v>
      </c>
      <c r="I35" s="41">
        <f t="shared" si="4"/>
        <v>188373.00718525331</v>
      </c>
    </row>
    <row r="36" spans="1:9" ht="17" outlineLevel="1" thickTop="1" x14ac:dyDescent="0.2">
      <c r="B36" s="10"/>
      <c r="D36" s="10"/>
      <c r="E36" s="62"/>
      <c r="F36" s="62"/>
      <c r="G36" s="62"/>
      <c r="H36" s="62"/>
      <c r="I36" s="62"/>
    </row>
    <row r="37" spans="1:9" outlineLevel="1" x14ac:dyDescent="0.2">
      <c r="B37" s="3" t="s">
        <v>201</v>
      </c>
      <c r="D37" s="3"/>
      <c r="E37" s="33">
        <f>D39</f>
        <v>325013</v>
      </c>
      <c r="F37" s="33">
        <f>E39</f>
        <v>342247</v>
      </c>
      <c r="G37" s="33">
        <f>F39</f>
        <v>357038</v>
      </c>
      <c r="H37" s="33">
        <f>G39</f>
        <v>384660.83190148778</v>
      </c>
      <c r="I37" s="33">
        <f>H39</f>
        <v>465465.84478947567</v>
      </c>
    </row>
    <row r="38" spans="1:9" outlineLevel="1" x14ac:dyDescent="0.2">
      <c r="B38" s="3" t="s">
        <v>202</v>
      </c>
      <c r="D38" s="3"/>
      <c r="E38" s="33">
        <f>i_Historical!E32-E37</f>
        <v>17234</v>
      </c>
      <c r="F38" s="33">
        <f>i_Historical!F32-F37</f>
        <v>14791</v>
      </c>
      <c r="G38" s="33">
        <f>G35+G22*(1-i_Inputs!$D$49)+c_FS!G51+c_FS!G50+c_FS!G44+c_FS!G45</f>
        <v>27622.831901487807</v>
      </c>
      <c r="H38" s="33">
        <f>H35+H22*(1-i_Inputs!$D$49)+c_FS!H51+c_FS!H50+c_FS!H44+c_FS!H45</f>
        <v>80805.012887987919</v>
      </c>
      <c r="I38" s="33">
        <f>I35+I22*(1-i_Inputs!$D$49)+c_FS!I51+c_FS!I50+c_FS!I44+c_FS!I45</f>
        <v>178810.52207069477</v>
      </c>
    </row>
    <row r="39" spans="1:9" s="51" customFormat="1" outlineLevel="1" x14ac:dyDescent="0.2">
      <c r="B39" s="5" t="s">
        <v>203</v>
      </c>
      <c r="C39" s="114"/>
      <c r="D39" s="63">
        <f>i_Inputs!D47</f>
        <v>325013</v>
      </c>
      <c r="E39" s="61">
        <f t="shared" ref="E39:F39" si="5">SUM(E37:E38)</f>
        <v>342247</v>
      </c>
      <c r="F39" s="61">
        <f t="shared" si="5"/>
        <v>357038</v>
      </c>
      <c r="G39" s="61">
        <f>SUM(G37:G38)</f>
        <v>384660.83190148778</v>
      </c>
      <c r="H39" s="61">
        <f t="shared" ref="H39:I39" si="6">SUM(H37:H38)</f>
        <v>465465.84478947567</v>
      </c>
      <c r="I39" s="61">
        <f t="shared" si="6"/>
        <v>644276.36686017038</v>
      </c>
    </row>
    <row r="40" spans="1:9" outlineLevel="1" x14ac:dyDescent="0.2">
      <c r="B40" s="3" t="s">
        <v>204</v>
      </c>
      <c r="D40" s="3"/>
      <c r="E40" s="33">
        <f>-c_FS!E46</f>
        <v>-138498</v>
      </c>
      <c r="F40" s="33">
        <f>-c_FS!F46</f>
        <v>-527</v>
      </c>
      <c r="G40" s="33">
        <f>-c_FS!G46</f>
        <v>0</v>
      </c>
      <c r="H40" s="33">
        <f>-c_FS!H46</f>
        <v>0</v>
      </c>
      <c r="I40" s="33">
        <f>-c_FS!I46</f>
        <v>0</v>
      </c>
    </row>
    <row r="41" spans="1:9" outlineLevel="1" x14ac:dyDescent="0.2">
      <c r="B41" s="3" t="s">
        <v>205</v>
      </c>
      <c r="D41" s="3"/>
      <c r="E41" s="33">
        <f>-c_FS!E52</f>
        <v>-98876</v>
      </c>
      <c r="F41" s="33">
        <f>-c_FS!F52</f>
        <v>-107037</v>
      </c>
      <c r="G41" s="33">
        <f>-c_FS!G52</f>
        <v>-96764.765600515209</v>
      </c>
      <c r="H41" s="33">
        <f>-c_FS!H52</f>
        <v>-85729.304185148678</v>
      </c>
      <c r="I41" s="33">
        <f>-c_FS!I52</f>
        <v>-73873.907986620412</v>
      </c>
    </row>
    <row r="42" spans="1:9" ht="17" outlineLevel="1" thickBot="1" x14ac:dyDescent="0.25">
      <c r="B42" s="8" t="s">
        <v>93</v>
      </c>
      <c r="C42" s="89"/>
      <c r="D42" s="8"/>
      <c r="E42" s="41">
        <f>SUM(E39:E41)</f>
        <v>104873</v>
      </c>
      <c r="F42" s="41">
        <f>SUM(F39:F41)</f>
        <v>249474</v>
      </c>
      <c r="G42" s="41">
        <f>SUM(G39:G41)</f>
        <v>287896.0663009726</v>
      </c>
      <c r="H42" s="41">
        <f>SUM(H39:H41)</f>
        <v>379736.54060432699</v>
      </c>
      <c r="I42" s="41">
        <f>SUM(I39:I41)</f>
        <v>570402.45887354994</v>
      </c>
    </row>
    <row r="43" spans="1:9" ht="17" thickTop="1" x14ac:dyDescent="0.2"/>
    <row r="44" spans="1:9" s="94" customFormat="1" x14ac:dyDescent="0.2">
      <c r="A44" s="88" t="s">
        <v>126</v>
      </c>
      <c r="B44" s="109" t="s">
        <v>118</v>
      </c>
    </row>
  </sheetData>
  <sheetProtection algorithmName="SHA-512" hashValue="Dq/EFpxwssGtuYiwBYnBRBqDw7Q/VTM0d7gVW7r7d28gbtMji8OArZFK4foRB6NL8EvttoJ8vYtKZuFSOCTW0Q==" saltValue="lbRWn22udMPFCqFODDmSzQ==" spinCount="100000" sheet="1" objects="1" scenarios="1"/>
  <pageMargins left="0.7" right="0.7" top="0.75" bottom="0.75" header="0.3" footer="0.3"/>
  <pageSetup paperSize="9"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13F75-15D2-A74D-A4CC-99A7F136F7C0}">
  <sheetPr>
    <tabColor theme="1"/>
  </sheetPr>
  <dimension ref="A1"/>
  <sheetViews>
    <sheetView topLeftCell="XFD1048576" workbookViewId="0"/>
  </sheetViews>
  <sheetFormatPr baseColWidth="10" defaultColWidth="0" defaultRowHeight="15" customHeight="1" zeroHeight="1" x14ac:dyDescent="0.2"/>
  <cols>
    <col min="1" max="16384" width="10.83203125" hidden="1"/>
  </cols>
  <sheetData>
    <row r="1" hidden="1" x14ac:dyDescent="0.2"/>
  </sheetData>
  <pageMargins left="0.7" right="0.7" top="0.75" bottom="0.75" header="0.3" footer="0.3"/>
  <pageSetup paperSize="9"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I60"/>
  <sheetViews>
    <sheetView showGridLines="0" workbookViewId="0">
      <pane xSplit="4" ySplit="5" topLeftCell="E6" activePane="bottomRight" state="frozen"/>
      <selection sqref="A1:XFD1048576"/>
      <selection pane="topRight" sqref="A1:XFD1048576"/>
      <selection pane="bottomLeft" sqref="A1:XFD1048576"/>
      <selection pane="bottomRight"/>
    </sheetView>
  </sheetViews>
  <sheetFormatPr baseColWidth="10" defaultColWidth="8.83203125" defaultRowHeight="16" outlineLevelRow="1" x14ac:dyDescent="0.2"/>
  <cols>
    <col min="1" max="1" width="3.83203125" style="1" customWidth="1"/>
    <col min="2" max="2" width="75.1640625" style="1" customWidth="1"/>
    <col min="3" max="3" width="8.5" style="1" customWidth="1"/>
    <col min="4" max="4" width="11.83203125" style="1" customWidth="1"/>
    <col min="5" max="9" width="19.5" style="1" customWidth="1"/>
    <col min="10" max="16384" width="8.83203125" style="1"/>
  </cols>
  <sheetData>
    <row r="1" spans="1:9" ht="20" x14ac:dyDescent="0.2">
      <c r="A1" s="193" t="str">
        <f>Contents!$A1</f>
        <v>Bolt Technology OÜ|Pre-IPO Equity Valuation Model</v>
      </c>
    </row>
    <row r="2" spans="1:9" x14ac:dyDescent="0.2">
      <c r="A2" s="105" t="str">
        <f>Contents!$A2</f>
        <v>Source: Bolt Technology OÜ Consolidated Annual Report 2024-25 (AS PricewaterhouseCoopers audit)</v>
      </c>
    </row>
    <row r="4" spans="1:9" s="82" customFormat="1" x14ac:dyDescent="0.2">
      <c r="B4" s="83" t="s">
        <v>224</v>
      </c>
      <c r="C4" s="68"/>
      <c r="E4" s="68" t="str">
        <f>i_Inputs!E4</f>
        <v>2024A</v>
      </c>
      <c r="F4" s="68" t="str">
        <f>i_Inputs!F4</f>
        <v>2025A</v>
      </c>
      <c r="G4" s="68" t="str">
        <f>i_Inputs!G4</f>
        <v>2026E</v>
      </c>
      <c r="H4" s="68" t="str">
        <f>i_Inputs!H4</f>
        <v>2027E</v>
      </c>
      <c r="I4" s="68" t="str">
        <f>i_Inputs!I4</f>
        <v>2028E</v>
      </c>
    </row>
    <row r="5" spans="1:9" s="68" customFormat="1" x14ac:dyDescent="0.2">
      <c r="E5" s="68" t="str">
        <f>i_Inputs!E5</f>
        <v>Actual</v>
      </c>
      <c r="F5" s="68" t="str">
        <f>i_Inputs!F5</f>
        <v>Actual</v>
      </c>
      <c r="G5" s="68" t="str">
        <f>i_Inputs!G5</f>
        <v>Estimate</v>
      </c>
      <c r="H5" s="68" t="str">
        <f>i_Inputs!H5</f>
        <v>Estimate</v>
      </c>
      <c r="I5" s="68" t="str">
        <f>i_Inputs!I5</f>
        <v>Estimate</v>
      </c>
    </row>
    <row r="6" spans="1:9" s="94" customFormat="1" x14ac:dyDescent="0.2">
      <c r="A6" s="88" t="s">
        <v>126</v>
      </c>
      <c r="B6" s="109" t="s">
        <v>119</v>
      </c>
    </row>
    <row r="7" spans="1:9" outlineLevel="1" x14ac:dyDescent="0.2">
      <c r="G7" s="236"/>
    </row>
    <row r="8" spans="1:9" outlineLevel="1" x14ac:dyDescent="0.2">
      <c r="B8" s="3" t="s">
        <v>4</v>
      </c>
      <c r="C8" s="14"/>
      <c r="D8" s="3"/>
      <c r="E8" s="17">
        <f>IF(E$5="Actual",i_Historical!E12,D8*(1+i_Inputs!E8+i_Scenario_Manager!$D10))</f>
        <v>1633907</v>
      </c>
      <c r="F8" s="17">
        <f>IF(F$5="Actual",i_Historical!F12,E8*(1+i_Inputs!F8+i_Scenario_Manager!$D10))</f>
        <v>1847432</v>
      </c>
      <c r="G8" s="17">
        <f>IF(G$5="Actual",i_Historical!G12,F8*(1+i_Inputs!G8+i_Scenario_Manager!$D10))</f>
        <v>2069123.84</v>
      </c>
      <c r="H8" s="17">
        <f>IF(H$5="Actual",i_Historical!H12,G8*(1+i_Inputs!H8+i_Scenario_Manager!$D10))</f>
        <v>2296727.4624000001</v>
      </c>
      <c r="I8" s="17">
        <f>IF(I$5="Actual",i_Historical!I12,H8*(1+i_Inputs!I8+i_Scenario_Manager!$D10))</f>
        <v>2526400.2086400003</v>
      </c>
    </row>
    <row r="9" spans="1:9" outlineLevel="1" x14ac:dyDescent="0.2">
      <c r="B9" s="3" t="s">
        <v>7</v>
      </c>
      <c r="C9" s="14"/>
      <c r="D9" s="3"/>
      <c r="E9" s="17">
        <f>IF(E$5="Actual",i_Historical!E13,D9*(1+i_Inputs!E9+i_Scenario_Manager!$D11))</f>
        <v>185469</v>
      </c>
      <c r="F9" s="17">
        <f>IF(F$5="Actual",i_Historical!F13,E9*(1+i_Inputs!F9+i_Scenario_Manager!$D11))</f>
        <v>240737</v>
      </c>
      <c r="G9" s="17">
        <f>IF(G$5="Actual",i_Historical!G13,F9*(1+i_Inputs!G9+i_Scenario_Manager!$D11))</f>
        <v>284069.65999999997</v>
      </c>
      <c r="H9" s="17">
        <f>IF(H$5="Actual",i_Historical!H13,G9*(1+i_Inputs!H9+i_Scenario_Manager!$D11))</f>
        <v>329520.80559999996</v>
      </c>
      <c r="I9" s="17">
        <f>IF(I$5="Actual",i_Historical!I13,H9*(1+i_Inputs!I9+i_Scenario_Manager!$D11))</f>
        <v>375653.71838400001</v>
      </c>
    </row>
    <row r="10" spans="1:9" outlineLevel="1" x14ac:dyDescent="0.2">
      <c r="B10" s="3" t="s">
        <v>75</v>
      </c>
      <c r="C10" s="14"/>
      <c r="D10" s="3"/>
      <c r="E10" s="17">
        <f>IF(E$5="Actual",i_Historical!E14,D10*(1+i_Inputs!E10+i_Scenario_Manager!$D12))</f>
        <v>172678</v>
      </c>
      <c r="F10" s="17">
        <f>IF(F$5="Actual",i_Historical!F14,E10*(1+i_Inputs!F10+i_Scenario_Manager!$D12))</f>
        <v>182685</v>
      </c>
      <c r="G10" s="17">
        <f>IF(G$5="Actual",i_Historical!G14,F10*(1+i_Inputs!G10+i_Scenario_Manager!$D12))</f>
        <v>210087.74999999997</v>
      </c>
      <c r="H10" s="17">
        <f>IF(H$5="Actual",i_Historical!H14,G10*(1+i_Inputs!H10+i_Scenario_Manager!$D12))</f>
        <v>241600.91249999995</v>
      </c>
      <c r="I10" s="17">
        <f>IF(I$5="Actual",i_Historical!I14,H10*(1+i_Inputs!I10+i_Scenario_Manager!$D12))</f>
        <v>270593.02199999994</v>
      </c>
    </row>
    <row r="11" spans="1:9" ht="17" outlineLevel="1" thickBot="1" x14ac:dyDescent="0.25">
      <c r="B11" s="8" t="s">
        <v>9</v>
      </c>
      <c r="C11" s="89"/>
      <c r="D11" s="8"/>
      <c r="E11" s="41">
        <f>SUM(E8:E10)</f>
        <v>1992054</v>
      </c>
      <c r="F11" s="41">
        <f>SUM(F8:F10)</f>
        <v>2270854</v>
      </c>
      <c r="G11" s="41">
        <f>SUM(G8:G10)</f>
        <v>2563281.25</v>
      </c>
      <c r="H11" s="41">
        <f>SUM(H8:H10)</f>
        <v>2867849.1805000002</v>
      </c>
      <c r="I11" s="41">
        <f>SUM(I8:I10)</f>
        <v>3172646.9490240002</v>
      </c>
    </row>
    <row r="12" spans="1:9" s="85" customFormat="1" ht="17" outlineLevel="1" thickTop="1" x14ac:dyDescent="0.2">
      <c r="B12" s="64" t="s">
        <v>187</v>
      </c>
      <c r="D12" s="64"/>
      <c r="E12" s="90">
        <f>IF(D11=0, 0, E11/D11-1)</f>
        <v>0</v>
      </c>
      <c r="F12" s="90">
        <f t="shared" ref="F12:I12" si="0">IF(E11=0, 0, F11/E11-1)</f>
        <v>0.13995604536824802</v>
      </c>
      <c r="G12" s="90">
        <f t="shared" si="0"/>
        <v>0.12877413078956201</v>
      </c>
      <c r="H12" s="90">
        <f t="shared" si="0"/>
        <v>0.1188195522828408</v>
      </c>
      <c r="I12" s="90">
        <f t="shared" si="0"/>
        <v>0.10628096156397571</v>
      </c>
    </row>
    <row r="14" spans="1:9" s="94" customFormat="1" x14ac:dyDescent="0.2">
      <c r="A14" s="88" t="s">
        <v>126</v>
      </c>
      <c r="B14" s="109" t="s">
        <v>140</v>
      </c>
    </row>
    <row r="15" spans="1:9" outlineLevel="1" x14ac:dyDescent="0.2"/>
    <row r="16" spans="1:9" s="51" customFormat="1" outlineLevel="1" x14ac:dyDescent="0.2">
      <c r="B16" s="10" t="s">
        <v>131</v>
      </c>
      <c r="E16" s="62">
        <f>IF(E$5="Actual",i_Historical!E16,-E$11*i_Inputs!E14+i_Scenario_Manager!$D16)</f>
        <v>-864477</v>
      </c>
      <c r="F16" s="62">
        <f>IF(F$5="Actual",i_Historical!F16,-F$11*i_Inputs!F14+i_Scenario_Manager!$D16)</f>
        <v>-831240</v>
      </c>
      <c r="G16" s="62">
        <f>IF(G$5="Actual",i_Historical!G16,-G$11*i_Inputs!G14+i_Scenario_Manager!$D16)</f>
        <v>-909964.84375</v>
      </c>
      <c r="H16" s="62">
        <f>IF(H$5="Actual",i_Historical!H16,-H$11*i_Inputs!H14+i_Scenario_Manager!$D16)</f>
        <v>-1003747.213175</v>
      </c>
      <c r="I16" s="62">
        <f>IF(I$5="Actual",i_Historical!I16,-I$11*i_Inputs!I14+i_Scenario_Manager!$D16)</f>
        <v>-1094563.1974132799</v>
      </c>
    </row>
    <row r="17" spans="1:9" outlineLevel="1" x14ac:dyDescent="0.2"/>
    <row r="18" spans="1:9" outlineLevel="1" x14ac:dyDescent="0.2">
      <c r="B18" s="3" t="s">
        <v>17</v>
      </c>
      <c r="E18" s="17">
        <f>IF(E$5="Actual",i_Historical!E18,-E$11*i_Inputs!E16+i_Scenario_Manager!$D18)</f>
        <v>-795513</v>
      </c>
      <c r="F18" s="17">
        <f>IF(F$5="Actual",i_Historical!F18,-F$11*i_Inputs!F16+i_Scenario_Manager!$D18)</f>
        <v>-1048370</v>
      </c>
      <c r="G18" s="17">
        <f>IF(G$5="Actual",i_Historical!G18,-G$11*i_Inputs!G16+i_Scenario_Manager!$D18)</f>
        <v>-1153476.5625</v>
      </c>
      <c r="H18" s="17">
        <f>IF(H$5="Actual",i_Historical!H18,-H$11*i_Inputs!H16+i_Scenario_Manager!$D18)</f>
        <v>-1218835.9017125</v>
      </c>
      <c r="I18" s="17">
        <f>IF(I$5="Actual",i_Historical!I18,-I$11*i_Inputs!I16+i_Scenario_Manager!$D18)</f>
        <v>-1269058.7796096001</v>
      </c>
    </row>
    <row r="19" spans="1:9" outlineLevel="1" x14ac:dyDescent="0.2">
      <c r="B19" s="3" t="s">
        <v>15</v>
      </c>
      <c r="E19" s="17">
        <f>IF(E$5="Actual",i_Historical!E19,-E$11*i_Inputs!E17+i_Scenario_Manager!$D19)</f>
        <v>-107877</v>
      </c>
      <c r="F19" s="17">
        <f>IF(F$5="Actual",i_Historical!F19,-F$11*i_Inputs!F17+i_Scenario_Manager!$D19)</f>
        <v>-127580</v>
      </c>
      <c r="G19" s="17">
        <f>IF(G$5="Actual",i_Historical!G19,-G$11*i_Inputs!G17+i_Scenario_Manager!$D19)</f>
        <v>-128164.0625</v>
      </c>
      <c r="H19" s="17">
        <f>IF(H$5="Actual",i_Historical!H19,-H$11*i_Inputs!H17+i_Scenario_Manager!$D19)</f>
        <v>-143392.45902500002</v>
      </c>
      <c r="I19" s="17">
        <f>IF(I$5="Actual",i_Historical!I19,-I$11*i_Inputs!I17+i_Scenario_Manager!$D19)</f>
        <v>-158632.34745120001</v>
      </c>
    </row>
    <row r="20" spans="1:9" outlineLevel="1" x14ac:dyDescent="0.2">
      <c r="B20" s="3" t="s">
        <v>19</v>
      </c>
      <c r="E20" s="17">
        <f>IF(E$5="Actual",i_Historical!E20,-E$11*i_Inputs!E18+i_Scenario_Manager!$D20)</f>
        <v>-319933</v>
      </c>
      <c r="F20" s="17">
        <f>IF(F$5="Actual",i_Historical!F20,-F$11*i_Inputs!F18+i_Scenario_Manager!$D20)</f>
        <v>-253032</v>
      </c>
      <c r="G20" s="17">
        <f>IF(G$5="Actual",i_Historical!G20,-G$11*i_Inputs!G18+i_Scenario_Manager!$D20)</f>
        <v>-307593.75</v>
      </c>
      <c r="H20" s="17">
        <f>IF(H$5="Actual",i_Historical!H20,-H$11*i_Inputs!H18+i_Scenario_Manager!$D20)</f>
        <v>-344141.90166000003</v>
      </c>
      <c r="I20" s="17">
        <f>IF(I$5="Actual",i_Historical!I20,-I$11*i_Inputs!I18+i_Scenario_Manager!$D20)</f>
        <v>-380717.63388288004</v>
      </c>
    </row>
    <row r="21" spans="1:9" outlineLevel="1" x14ac:dyDescent="0.2">
      <c r="B21" s="3" t="s">
        <v>21</v>
      </c>
      <c r="E21" s="17">
        <f>IF(E$5="Actual",i_Historical!E21,-E$11*i_Inputs!E19+i_Scenario_Manager!$D21)</f>
        <v>-8913</v>
      </c>
      <c r="F21" s="17">
        <f>IF(F$5="Actual",i_Historical!F21,-F$11*i_Inputs!F19+i_Scenario_Manager!$D21)</f>
        <v>-13131</v>
      </c>
      <c r="G21" s="17">
        <f>IF(G$5="Actual",i_Historical!G21,-G$11*i_Inputs!G19+i_Scenario_Manager!$D21)</f>
        <v>-51265.625</v>
      </c>
      <c r="H21" s="17">
        <f>IF(H$5="Actual",i_Historical!H21,-H$11*i_Inputs!H19+i_Scenario_Manager!$D21)</f>
        <v>-57356.983610000003</v>
      </c>
      <c r="I21" s="17">
        <f>IF(I$5="Actual",i_Historical!I21,-I$11*i_Inputs!I19+i_Scenario_Manager!$D21)</f>
        <v>-63452.938980480008</v>
      </c>
    </row>
    <row r="22" spans="1:9" outlineLevel="1" x14ac:dyDescent="0.2">
      <c r="B22" s="3" t="s">
        <v>13</v>
      </c>
      <c r="E22" s="17">
        <f>IF(E$5="Actual",i_Historical!E22,E$11*i_Inputs!E20+i_Scenario_Manager!$D22)</f>
        <v>16924</v>
      </c>
      <c r="F22" s="17">
        <f>IF(F$5="Actual",i_Historical!F22,F$11*i_Inputs!F20+i_Scenario_Manager!$D22)</f>
        <v>21953</v>
      </c>
      <c r="G22" s="17">
        <f>IF(G$5="Actual",i_Historical!G22,G$11*i_Inputs!G20+i_Scenario_Manager!$D22)</f>
        <v>25632.8125</v>
      </c>
      <c r="H22" s="17">
        <f>IF(H$5="Actual",i_Historical!H22,H$11*i_Inputs!H20+i_Scenario_Manager!$D22)</f>
        <v>28678.491805000001</v>
      </c>
      <c r="I22" s="17">
        <f>IF(I$5="Actual",i_Historical!I22,I$11*i_Inputs!I20+i_Scenario_Manager!$D22)</f>
        <v>31726.469490240004</v>
      </c>
    </row>
    <row r="23" spans="1:9" ht="17" outlineLevel="1" thickBot="1" x14ac:dyDescent="0.25">
      <c r="B23" s="8" t="s">
        <v>146</v>
      </c>
      <c r="C23" s="89"/>
      <c r="D23" s="8"/>
      <c r="E23" s="41">
        <f>SUM(E18:E22)</f>
        <v>-1215312</v>
      </c>
      <c r="F23" s="41">
        <f t="shared" ref="F23:I23" si="1">SUM(F18:F22)</f>
        <v>-1420160</v>
      </c>
      <c r="G23" s="41">
        <f t="shared" si="1"/>
        <v>-1614867.1875</v>
      </c>
      <c r="H23" s="41">
        <f t="shared" si="1"/>
        <v>-1735048.7542025</v>
      </c>
      <c r="I23" s="41">
        <f t="shared" si="1"/>
        <v>-1840135.2304339199</v>
      </c>
    </row>
    <row r="24" spans="1:9" s="85" customFormat="1" ht="17" outlineLevel="1" thickTop="1" x14ac:dyDescent="0.2">
      <c r="B24" s="64" t="s">
        <v>194</v>
      </c>
      <c r="D24" s="64"/>
      <c r="E24" s="90">
        <f>-E23/E11</f>
        <v>0.61007984723305697</v>
      </c>
      <c r="F24" s="90">
        <f t="shared" ref="F24:I24" si="2">-F23/F11</f>
        <v>0.62538586804787977</v>
      </c>
      <c r="G24" s="90">
        <f t="shared" si="2"/>
        <v>0.63</v>
      </c>
      <c r="H24" s="90">
        <f t="shared" si="2"/>
        <v>0.60499999999999998</v>
      </c>
      <c r="I24" s="90">
        <f t="shared" si="2"/>
        <v>0.57999999999999996</v>
      </c>
    </row>
    <row r="26" spans="1:9" s="94" customFormat="1" x14ac:dyDescent="0.2">
      <c r="A26" s="88" t="s">
        <v>126</v>
      </c>
      <c r="B26" s="109" t="s">
        <v>139</v>
      </c>
    </row>
    <row r="27" spans="1:9" outlineLevel="1" x14ac:dyDescent="0.2"/>
    <row r="28" spans="1:9" outlineLevel="1" x14ac:dyDescent="0.2">
      <c r="B28" s="3" t="s">
        <v>88</v>
      </c>
      <c r="D28" s="3"/>
      <c r="E28" s="17">
        <f>IF(E$5="Actual",i_Historical!E33,E11*i_Inputs!E24/365)</f>
        <v>100732</v>
      </c>
      <c r="F28" s="17">
        <f>IF(F$5="Actual",i_Historical!F33,F11*i_Inputs!F24/365)</f>
        <v>127467</v>
      </c>
      <c r="G28" s="17">
        <f>IF(G$5="Actual",i_Historical!G33,G11*i_Inputs!G24/365)</f>
        <v>140453.76712328766</v>
      </c>
      <c r="H28" s="17">
        <f>IF(H$5="Actual",i_Historical!H33,H11*i_Inputs!H24/365)</f>
        <v>157142.42084931509</v>
      </c>
      <c r="I28" s="17">
        <f>IF(I$5="Actual",i_Historical!I33,I11*i_Inputs!I24/365)</f>
        <v>173843.66843967122</v>
      </c>
    </row>
    <row r="29" spans="1:9" outlineLevel="1" x14ac:dyDescent="0.2">
      <c r="B29" s="3" t="s">
        <v>89</v>
      </c>
      <c r="D29" s="3"/>
      <c r="E29" s="17">
        <f>IF(E$5="Actual",i_Historical!E40,-c_FS!E16*i_Inputs!E25/365)</f>
        <v>136657</v>
      </c>
      <c r="F29" s="17">
        <f>IF(F$5="Actual",i_Historical!F40,-c_FS!F16*i_Inputs!F25/365)</f>
        <v>188970</v>
      </c>
      <c r="G29" s="17">
        <f>IF(G$5="Actual",i_Historical!G40,-c_FS!G16*i_Inputs!G25/365)</f>
        <v>211909.62114726027</v>
      </c>
      <c r="H29" s="17">
        <f>IF(H$5="Actual",i_Historical!H40,-c_FS!H16*i_Inputs!H25/365)</f>
        <v>219999.3891890411</v>
      </c>
      <c r="I29" s="17">
        <f>IF(I$5="Actual",i_Historical!I40,-c_FS!I16*i_Inputs!I25/365)</f>
        <v>239904.26244674626</v>
      </c>
    </row>
    <row r="30" spans="1:9" s="51" customFormat="1" ht="17" outlineLevel="1" thickBot="1" x14ac:dyDescent="0.25">
      <c r="B30" s="8" t="s">
        <v>90</v>
      </c>
      <c r="C30" s="66"/>
      <c r="D30" s="91">
        <f>i_Inputs!$D$26</f>
        <v>-34555</v>
      </c>
      <c r="E30" s="41">
        <f>E28-E29</f>
        <v>-35925</v>
      </c>
      <c r="F30" s="41">
        <f>F28-F29</f>
        <v>-61503</v>
      </c>
      <c r="G30" s="41">
        <f>G28-G29</f>
        <v>-71455.854023972614</v>
      </c>
      <c r="H30" s="41">
        <f>H28-H29</f>
        <v>-62856.968339726009</v>
      </c>
      <c r="I30" s="41">
        <f>I28-I29</f>
        <v>-66060.594007075037</v>
      </c>
    </row>
    <row r="31" spans="1:9" ht="17" outlineLevel="1" thickTop="1" x14ac:dyDescent="0.2">
      <c r="B31" s="3" t="s">
        <v>188</v>
      </c>
      <c r="D31" s="3"/>
      <c r="E31" s="33">
        <f>E30-D30</f>
        <v>-1370</v>
      </c>
      <c r="F31" s="17">
        <f>F30-E30</f>
        <v>-25578</v>
      </c>
      <c r="G31" s="17">
        <f>G30-F30</f>
        <v>-9952.8540239726135</v>
      </c>
      <c r="H31" s="17">
        <f>H30-G30</f>
        <v>8598.8856842466048</v>
      </c>
      <c r="I31" s="17">
        <f>I30-H30</f>
        <v>-3203.6256673490279</v>
      </c>
    </row>
    <row r="32" spans="1:9" x14ac:dyDescent="0.2">
      <c r="B32" s="3"/>
      <c r="D32" s="3"/>
      <c r="E32" s="17"/>
      <c r="F32" s="17"/>
      <c r="G32" s="17"/>
      <c r="H32" s="17"/>
      <c r="I32" s="17"/>
    </row>
    <row r="33" spans="1:9" s="94" customFormat="1" x14ac:dyDescent="0.2">
      <c r="A33" s="88" t="s">
        <v>126</v>
      </c>
      <c r="B33" s="109" t="s">
        <v>147</v>
      </c>
    </row>
    <row r="34" spans="1:9" outlineLevel="1" x14ac:dyDescent="0.2"/>
    <row r="35" spans="1:9" outlineLevel="1" x14ac:dyDescent="0.2">
      <c r="B35" s="3" t="s">
        <v>172</v>
      </c>
      <c r="D35" s="3"/>
      <c r="E35" s="33">
        <f>D39</f>
        <v>209987</v>
      </c>
      <c r="F35" s="33">
        <f t="shared" ref="F35:I35" si="3">E39</f>
        <v>189638</v>
      </c>
      <c r="G35" s="33">
        <f t="shared" si="3"/>
        <v>180405</v>
      </c>
      <c r="H35" s="33">
        <f t="shared" si="3"/>
        <v>181283.5</v>
      </c>
      <c r="I35" s="33">
        <f t="shared" si="3"/>
        <v>181898.45</v>
      </c>
    </row>
    <row r="36" spans="1:9" outlineLevel="1" x14ac:dyDescent="0.2">
      <c r="B36" s="3" t="s">
        <v>167</v>
      </c>
      <c r="D36" s="3"/>
      <c r="E36" s="17">
        <f>IF(E$5="Actual",-i_Historical!E57,i_Inputs!E28)</f>
        <v>24860</v>
      </c>
      <c r="F36" s="17">
        <f>IF(F$5="Actual",-i_Historical!F57,i_Inputs!F28)</f>
        <v>49348</v>
      </c>
      <c r="G36" s="17">
        <f>IF(G$5="Actual",-i_Historical!G57,i_Inputs!G28)</f>
        <v>55000</v>
      </c>
      <c r="H36" s="17">
        <f>IF(H$5="Actual",-i_Historical!H57,i_Inputs!H28)</f>
        <v>55000</v>
      </c>
      <c r="I36" s="17">
        <f>IF(I$5="Actual",-i_Historical!I57,i_Inputs!I28)</f>
        <v>55000</v>
      </c>
    </row>
    <row r="37" spans="1:9" outlineLevel="1" x14ac:dyDescent="0.2">
      <c r="B37" s="3" t="s">
        <v>168</v>
      </c>
      <c r="D37" s="3"/>
      <c r="E37" s="17">
        <f>IF(E$5="Actual",-i_Historical!E56,-E35*i_Inputs!$D$29)</f>
        <v>-57437</v>
      </c>
      <c r="F37" s="17">
        <f>IF(F$5="Actual",-i_Historical!F56,-F35*i_Inputs!$D$29)</f>
        <v>-57218</v>
      </c>
      <c r="G37" s="17">
        <f>IF(G$5="Actual",-i_Historical!G56,-G35*i_Inputs!$D$29)</f>
        <v>-54121.5</v>
      </c>
      <c r="H37" s="17">
        <f>IF(H$5="Actual",-i_Historical!H56,-H35*i_Inputs!$D$29)</f>
        <v>-54385.049999999996</v>
      </c>
      <c r="I37" s="17">
        <f>IF(I$5="Actual",-i_Historical!I56,-I35*i_Inputs!$D$29)</f>
        <v>-54569.535000000003</v>
      </c>
    </row>
    <row r="38" spans="1:9" outlineLevel="1" x14ac:dyDescent="0.2">
      <c r="B38" s="3" t="s">
        <v>191</v>
      </c>
      <c r="D38" s="3"/>
      <c r="E38" s="33">
        <f>IF(E$5="Actual",i_Historical!E36-SUM(E35:E37),i_Inputs!E31)</f>
        <v>12228</v>
      </c>
      <c r="F38" s="33">
        <f>IF(F$5="Actual",i_Historical!F36-SUM(F35:F37),i_Inputs!F31)</f>
        <v>-1363</v>
      </c>
      <c r="G38" s="33">
        <f>IF(G$5="Actual",i_Historical!G36-SUM(G35:G37),i_Inputs!G31)</f>
        <v>0</v>
      </c>
      <c r="H38" s="33">
        <f>IF(H$5="Actual",i_Historical!H36-SUM(H35:H37),i_Inputs!H31)</f>
        <v>0</v>
      </c>
      <c r="I38" s="33">
        <f>IF(I$5="Actual",i_Historical!I36-SUM(I35:I37),i_Inputs!I31)</f>
        <v>0</v>
      </c>
    </row>
    <row r="39" spans="1:9" s="51" customFormat="1" ht="17" outlineLevel="1" thickBot="1" x14ac:dyDescent="0.25">
      <c r="B39" s="8" t="s">
        <v>173</v>
      </c>
      <c r="C39" s="66"/>
      <c r="D39" s="92">
        <f>i_Inputs!D30</f>
        <v>209987</v>
      </c>
      <c r="E39" s="41">
        <f t="shared" ref="E39:F39" si="4">SUM(E35:E38)</f>
        <v>189638</v>
      </c>
      <c r="F39" s="41">
        <f t="shared" si="4"/>
        <v>180405</v>
      </c>
      <c r="G39" s="41">
        <f>SUM(G35:G38)</f>
        <v>181283.5</v>
      </c>
      <c r="H39" s="41">
        <f>SUM(H35:H38)</f>
        <v>181898.45</v>
      </c>
      <c r="I39" s="41">
        <f>SUM(I35:I38)</f>
        <v>182328.91500000001</v>
      </c>
    </row>
    <row r="40" spans="1:9" ht="17" thickTop="1" x14ac:dyDescent="0.2">
      <c r="E40" s="111"/>
      <c r="F40" s="111"/>
      <c r="G40" s="111"/>
      <c r="H40" s="111"/>
      <c r="I40" s="111"/>
    </row>
    <row r="41" spans="1:9" s="94" customFormat="1" x14ac:dyDescent="0.2">
      <c r="A41" s="88" t="s">
        <v>126</v>
      </c>
      <c r="B41" s="109" t="s">
        <v>160</v>
      </c>
    </row>
    <row r="42" spans="1:9" outlineLevel="1" x14ac:dyDescent="0.2"/>
    <row r="43" spans="1:9" outlineLevel="1" x14ac:dyDescent="0.2">
      <c r="B43" s="3" t="s">
        <v>174</v>
      </c>
      <c r="D43" s="3"/>
      <c r="E43" s="33">
        <f>D46</f>
        <v>139715</v>
      </c>
      <c r="F43" s="33">
        <f t="shared" ref="F43:I43" si="5">E46</f>
        <v>138498</v>
      </c>
      <c r="G43" s="33">
        <f t="shared" si="5"/>
        <v>527</v>
      </c>
      <c r="H43" s="33">
        <f t="shared" si="5"/>
        <v>0</v>
      </c>
      <c r="I43" s="33">
        <f t="shared" si="5"/>
        <v>0</v>
      </c>
    </row>
    <row r="44" spans="1:9" outlineLevel="1" x14ac:dyDescent="0.2">
      <c r="B44" s="1" t="s">
        <v>169</v>
      </c>
      <c r="E44" s="33">
        <f>IF(E$5="Actual",0,MAX(0,N(i_Inputs!E36)))</f>
        <v>0</v>
      </c>
      <c r="F44" s="33">
        <f>IF(F$5="Actual",0,MAX(0,N(i_Inputs!F36)))</f>
        <v>0</v>
      </c>
      <c r="G44" s="33">
        <f>IF(G$5="Actual",0,MAX(0,N(i_Inputs!G36)))</f>
        <v>0</v>
      </c>
      <c r="H44" s="33">
        <f>IF(H$5="Actual",0,MAX(0,N(i_Inputs!H36)))</f>
        <v>0</v>
      </c>
      <c r="I44" s="33">
        <f>IF(I$5="Actual",0,MAX(0,N(i_Inputs!I36)))</f>
        <v>0</v>
      </c>
    </row>
    <row r="45" spans="1:9" outlineLevel="1" x14ac:dyDescent="0.2">
      <c r="B45" s="1" t="s">
        <v>195</v>
      </c>
      <c r="E45" s="33">
        <f>IF(E$5="Actual",i_Historical!E41-SUM(E43:E44), MIN(0,N(i_Inputs!E36)))</f>
        <v>-1217</v>
      </c>
      <c r="F45" s="33">
        <f>IF(F$5="Actual",i_Historical!F41-SUM(F43:F44), MIN(0,N(i_Inputs!F36)))</f>
        <v>-137971</v>
      </c>
      <c r="G45" s="33">
        <f>IF(G$5="Actual",i_Historical!G41-SUM(G43:G44), MIN(0,N(i_Inputs!G36)))</f>
        <v>-527</v>
      </c>
      <c r="H45" s="33">
        <f>IF(H$5="Actual",i_Historical!H41-SUM(H43:H44), MIN(0,N(i_Inputs!H36)))</f>
        <v>0</v>
      </c>
      <c r="I45" s="33">
        <f>IF(I$5="Actual",i_Historical!I41-SUM(I43:I44), MIN(0,N(i_Inputs!I36)))</f>
        <v>0</v>
      </c>
    </row>
    <row r="46" spans="1:9" s="51" customFormat="1" ht="17" outlineLevel="1" thickBot="1" x14ac:dyDescent="0.25">
      <c r="B46" s="66" t="s">
        <v>196</v>
      </c>
      <c r="C46" s="66"/>
      <c r="D46" s="92">
        <f>i_Inputs!D37</f>
        <v>139715</v>
      </c>
      <c r="E46" s="41">
        <f t="shared" ref="E46:F46" si="6">SUM(E43:E45)</f>
        <v>138498</v>
      </c>
      <c r="F46" s="41">
        <f t="shared" si="6"/>
        <v>527</v>
      </c>
      <c r="G46" s="41">
        <f>SUM(G43:G45)</f>
        <v>0</v>
      </c>
      <c r="H46" s="41">
        <f>SUM(H43:H45)</f>
        <v>0</v>
      </c>
      <c r="I46" s="41">
        <f>SUM(I43:I45)</f>
        <v>0</v>
      </c>
    </row>
    <row r="47" spans="1:9" ht="17" outlineLevel="1" thickTop="1" x14ac:dyDescent="0.2"/>
    <row r="48" spans="1:9" outlineLevel="1" x14ac:dyDescent="0.2">
      <c r="B48" s="1" t="s">
        <v>170</v>
      </c>
      <c r="D48" s="3"/>
      <c r="E48" s="33">
        <f>D52</f>
        <v>96820</v>
      </c>
      <c r="F48" s="33">
        <f>E52</f>
        <v>98876</v>
      </c>
      <c r="G48" s="33">
        <f>F52</f>
        <v>107037</v>
      </c>
      <c r="H48" s="33">
        <f>G52</f>
        <v>96764.765600515209</v>
      </c>
      <c r="I48" s="33">
        <f>H52</f>
        <v>85729.304185148678</v>
      </c>
    </row>
    <row r="49" spans="1:9" outlineLevel="1" x14ac:dyDescent="0.2">
      <c r="B49" s="1" t="s">
        <v>181</v>
      </c>
      <c r="E49" s="33">
        <f>E38</f>
        <v>12228</v>
      </c>
      <c r="F49" s="33">
        <f>F38</f>
        <v>-1363</v>
      </c>
      <c r="G49" s="33">
        <f>G38</f>
        <v>0</v>
      </c>
      <c r="H49" s="33">
        <f>H38</f>
        <v>0</v>
      </c>
      <c r="I49" s="33">
        <f>I38</f>
        <v>0</v>
      </c>
    </row>
    <row r="50" spans="1:9" outlineLevel="1" x14ac:dyDescent="0.2">
      <c r="B50" s="1" t="s">
        <v>179</v>
      </c>
      <c r="E50" s="33">
        <f>-E55</f>
        <v>7193.7260000000006</v>
      </c>
      <c r="F50" s="33">
        <f>-F55</f>
        <v>7346.4868000000006</v>
      </c>
      <c r="G50" s="33">
        <f>-G55</f>
        <v>7952.8491000000004</v>
      </c>
      <c r="H50" s="33">
        <f>-H55</f>
        <v>7189.6220841182803</v>
      </c>
      <c r="I50" s="33">
        <f>-I55</f>
        <v>6369.687300956547</v>
      </c>
    </row>
    <row r="51" spans="1:9" outlineLevel="1" x14ac:dyDescent="0.2">
      <c r="B51" s="1" t="s">
        <v>182</v>
      </c>
      <c r="E51" s="33">
        <f>IF(E$5="Actual",i_Historical!E42-SUM(E48:E50),-i_Inputs!E41)</f>
        <v>-17365.725999999995</v>
      </c>
      <c r="F51" s="33">
        <f>IF(F$5="Actual",i_Historical!F42-SUM(F48:F50),-i_Inputs!F41)</f>
        <v>2177.5132000000012</v>
      </c>
      <c r="G51" s="33">
        <f>IF(G$5="Actual",i_Historical!G42-SUM(G48:G50),-i_Inputs!G41)</f>
        <v>-18225.083499484805</v>
      </c>
      <c r="H51" s="33">
        <f>IF(H$5="Actual",i_Historical!H42-SUM(H48:H50),-i_Inputs!H41)</f>
        <v>-18225.083499484805</v>
      </c>
      <c r="I51" s="33">
        <f>IF(I$5="Actual",i_Historical!I42-SUM(I48:I50),-i_Inputs!I41)</f>
        <v>-18225.083499484805</v>
      </c>
    </row>
    <row r="52" spans="1:9" s="51" customFormat="1" ht="17" outlineLevel="1" thickBot="1" x14ac:dyDescent="0.25">
      <c r="B52" s="66" t="s">
        <v>171</v>
      </c>
      <c r="C52" s="66"/>
      <c r="D52" s="92">
        <f>i_Inputs!D40</f>
        <v>96820</v>
      </c>
      <c r="E52" s="41">
        <f t="shared" ref="E52:F52" si="7">SUM(E48:E51)</f>
        <v>98876</v>
      </c>
      <c r="F52" s="41">
        <f t="shared" si="7"/>
        <v>107037</v>
      </c>
      <c r="G52" s="41">
        <f>SUM(G48:G51)</f>
        <v>96764.765600515209</v>
      </c>
      <c r="H52" s="41">
        <f>SUM(H48:H51)</f>
        <v>85729.304185148678</v>
      </c>
      <c r="I52" s="41">
        <f>SUM(I48:I51)</f>
        <v>73873.907986620412</v>
      </c>
    </row>
    <row r="53" spans="1:9" ht="17" outlineLevel="1" thickTop="1" x14ac:dyDescent="0.2"/>
    <row r="54" spans="1:9" outlineLevel="1" x14ac:dyDescent="0.2">
      <c r="B54" s="1" t="s">
        <v>176</v>
      </c>
      <c r="E54" s="33">
        <f>-AVERAGE(E43,E46)*i_Inputs!$D$35</f>
        <v>-6259.7924999999996</v>
      </c>
      <c r="F54" s="33">
        <f>-AVERAGE(F43,F46)*i_Inputs!$D$35</f>
        <v>-3128.0625</v>
      </c>
      <c r="G54" s="33">
        <f>-AVERAGE(G43,G46)*i_Inputs!$D$35</f>
        <v>-11.8575</v>
      </c>
      <c r="H54" s="33">
        <f>-AVERAGE(H43,H46)*i_Inputs!$D$35</f>
        <v>0</v>
      </c>
      <c r="I54" s="33">
        <f>-AVERAGE(I43,I46)*i_Inputs!$D$35</f>
        <v>0</v>
      </c>
    </row>
    <row r="55" spans="1:9" outlineLevel="1" x14ac:dyDescent="0.2">
      <c r="B55" s="1" t="s">
        <v>177</v>
      </c>
      <c r="E55" s="33">
        <f>-E48*i_Inputs!$D$39</f>
        <v>-7193.7260000000006</v>
      </c>
      <c r="F55" s="33">
        <f>-F48*i_Inputs!$D$39</f>
        <v>-7346.4868000000006</v>
      </c>
      <c r="G55" s="33">
        <f>-G48*i_Inputs!$D$39</f>
        <v>-7952.8491000000004</v>
      </c>
      <c r="H55" s="33">
        <f>-H48*i_Inputs!$D$39</f>
        <v>-7189.6220841182803</v>
      </c>
      <c r="I55" s="33">
        <f>-I48*i_Inputs!$D$39</f>
        <v>-6369.687300956547</v>
      </c>
    </row>
    <row r="56" spans="1:9" s="51" customFormat="1" ht="17" outlineLevel="1" thickBot="1" x14ac:dyDescent="0.25">
      <c r="B56" s="66" t="s">
        <v>178</v>
      </c>
      <c r="C56" s="66"/>
      <c r="D56" s="66"/>
      <c r="E56" s="92">
        <f>SUM(E54:E55)</f>
        <v>-13453.5185</v>
      </c>
      <c r="F56" s="92">
        <f>SUM(F54:F55)</f>
        <v>-10474.549300000001</v>
      </c>
      <c r="G56" s="41">
        <f>SUM(G54:G55)</f>
        <v>-7964.7066000000004</v>
      </c>
      <c r="H56" s="41">
        <f>SUM(H54:H55)</f>
        <v>-7189.6220841182803</v>
      </c>
      <c r="I56" s="41">
        <f>SUM(I54:I55)</f>
        <v>-6369.687300956547</v>
      </c>
    </row>
    <row r="57" spans="1:9" ht="17" outlineLevel="1" thickTop="1" x14ac:dyDescent="0.2"/>
    <row r="58" spans="1:9" s="51" customFormat="1" outlineLevel="1" x14ac:dyDescent="0.2">
      <c r="B58" s="10" t="s">
        <v>82</v>
      </c>
      <c r="E58" s="93">
        <f>IF(E$5="Actual",i_Historical!E24,E56+o_FS!E37*i_Inputs!$D$46)</f>
        <v>1686</v>
      </c>
      <c r="F58" s="93">
        <f>IF(F$5="Actual",i_Historical!F24,F56+o_FS!F37*i_Inputs!$D$46)</f>
        <v>-1291</v>
      </c>
      <c r="G58" s="93">
        <f>IF(G$5="Actual",i_Historical!G24,G56+o_FS!G37*i_Inputs!$D$46)</f>
        <v>-823.94660000000022</v>
      </c>
      <c r="H58" s="93">
        <f>IF(H$5="Actual",i_Historical!H24,H56+o_FS!H37*i_Inputs!$D$46)</f>
        <v>503.59455391147549</v>
      </c>
      <c r="I58" s="93">
        <f>IF(I$5="Actual",i_Historical!I24,I56+o_FS!I37*i_Inputs!$D$46)</f>
        <v>2939.6295948329671</v>
      </c>
    </row>
    <row r="60" spans="1:9" s="94" customFormat="1" x14ac:dyDescent="0.2">
      <c r="A60" s="88" t="s">
        <v>126</v>
      </c>
      <c r="B60" s="109" t="s">
        <v>118</v>
      </c>
    </row>
  </sheetData>
  <sheetProtection algorithmName="SHA-512" hashValue="1YzppcQclTwhD0zdOjzePjiOrRBEC6FW84s4fwhWXp4EX9vbTV/Ij8wVZVvzvYqFbTe3tUHhFTO89PJVWlzdJw==" saltValue="7h7fJ2DSeBCSBsr2H0pYSQ==" spinCount="100000" sheet="1" objects="1" scenarios="1" formatColumns="0" formatRows="0" sort="0" autoFilter="0"/>
  <pageMargins left="0.75" right="0.75" top="1" bottom="1" header="0.5" footer="0.5"/>
  <pageSetup paperSize="9"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AC0BD-11EA-DB47-9896-C0E6F8C3E4F5}">
  <sheetPr>
    <tabColor theme="1"/>
  </sheetPr>
  <dimension ref="A1"/>
  <sheetViews>
    <sheetView topLeftCell="XFD1048576" workbookViewId="0"/>
  </sheetViews>
  <sheetFormatPr baseColWidth="10" defaultColWidth="0" defaultRowHeight="15" customHeight="1" zeroHeight="1" x14ac:dyDescent="0.2"/>
  <cols>
    <col min="1" max="16384" width="10.83203125" hidden="1"/>
  </cols>
  <sheetData>
    <row r="1" hidden="1" x14ac:dyDescent="0.2"/>
  </sheetData>
  <sheetProtection formatColumns="0" formatRows="0" sort="0" autoFilter="0"/>
  <pageMargins left="0.7" right="0.7" top="0.75" bottom="0.75" header="0.3" footer="0.3"/>
  <pageSetup paperSize="9" orientation="portrait"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18518-BCDA-6746-98AC-1BB0D375A367}">
  <sheetPr>
    <tabColor theme="9" tint="0.79998168889431442"/>
  </sheetPr>
  <dimension ref="A1:J33"/>
  <sheetViews>
    <sheetView showGridLines="0" workbookViewId="0">
      <pane xSplit="4" ySplit="7" topLeftCell="E8" activePane="bottomRight" state="frozen"/>
      <selection pane="topRight" activeCell="E1" sqref="E1"/>
      <selection pane="bottomLeft" activeCell="A7" sqref="A7"/>
      <selection pane="bottomRight"/>
    </sheetView>
  </sheetViews>
  <sheetFormatPr baseColWidth="10" defaultRowHeight="16" outlineLevelRow="1" x14ac:dyDescent="0.2"/>
  <cols>
    <col min="1" max="1" width="4.5" style="182" customWidth="1"/>
    <col min="2" max="2" width="56.6640625" style="182" customWidth="1"/>
    <col min="3" max="3" width="13.83203125" style="227" customWidth="1"/>
    <col min="4" max="4" width="16" style="182" customWidth="1"/>
    <col min="5" max="9" width="14.33203125" style="182" customWidth="1"/>
    <col min="10" max="16384" width="10.83203125" style="182"/>
  </cols>
  <sheetData>
    <row r="1" spans="1:10" ht="20" x14ac:dyDescent="0.2">
      <c r="A1" s="193" t="str">
        <f>Contents!$A1</f>
        <v>Bolt Technology OÜ|Pre-IPO Equity Valuation Model</v>
      </c>
    </row>
    <row r="2" spans="1:10" x14ac:dyDescent="0.2">
      <c r="A2" s="105" t="str">
        <f>Contents!$A2</f>
        <v>Source: Bolt Technology OÜ Consolidated Annual Report 2024-25 (AS PricewaterhouseCoopers audit)</v>
      </c>
    </row>
    <row r="3" spans="1:10" x14ac:dyDescent="0.2">
      <c r="A3" s="110"/>
    </row>
    <row r="4" spans="1:10" s="241" customFormat="1" x14ac:dyDescent="0.2"/>
    <row r="5" spans="1:10" s="58" customFormat="1" x14ac:dyDescent="0.2">
      <c r="B5" s="238"/>
    </row>
    <row r="6" spans="1:10" x14ac:dyDescent="0.2">
      <c r="B6" s="224" t="s">
        <v>314</v>
      </c>
      <c r="C6" s="242">
        <v>3</v>
      </c>
      <c r="E6" s="229">
        <f>D6+1</f>
        <v>1</v>
      </c>
      <c r="F6" s="229">
        <f t="shared" ref="F6:I6" si="0">E6+1</f>
        <v>2</v>
      </c>
      <c r="G6" s="229">
        <f t="shared" si="0"/>
        <v>3</v>
      </c>
      <c r="H6" s="229">
        <f t="shared" si="0"/>
        <v>4</v>
      </c>
      <c r="I6" s="229">
        <f t="shared" si="0"/>
        <v>5</v>
      </c>
      <c r="J6" s="71"/>
    </row>
    <row r="7" spans="1:10" s="58" customFormat="1" x14ac:dyDescent="0.2">
      <c r="B7" s="238"/>
    </row>
    <row r="8" spans="1:10" s="94" customFormat="1" x14ac:dyDescent="0.2">
      <c r="A8" s="88" t="s">
        <v>126</v>
      </c>
      <c r="B8" s="109" t="s">
        <v>308</v>
      </c>
      <c r="C8" s="230"/>
    </row>
    <row r="9" spans="1:10" outlineLevel="1" x14ac:dyDescent="0.2"/>
    <row r="10" spans="1:10" outlineLevel="1" x14ac:dyDescent="0.2">
      <c r="B10" s="182" t="s">
        <v>4</v>
      </c>
      <c r="C10" s="227" t="s">
        <v>313</v>
      </c>
      <c r="D10" s="234" cm="1">
        <f t="array" ref="D10">INDEX(E10:J10,$C$6)</f>
        <v>0</v>
      </c>
      <c r="E10" s="79">
        <v>-0.05</v>
      </c>
      <c r="F10" s="79">
        <v>-2.5000000000000001E-2</v>
      </c>
      <c r="G10" s="79">
        <v>0</v>
      </c>
      <c r="H10" s="79">
        <v>2.5000000000000001E-2</v>
      </c>
      <c r="I10" s="79">
        <v>0.05</v>
      </c>
      <c r="J10" s="71"/>
    </row>
    <row r="11" spans="1:10" outlineLevel="1" x14ac:dyDescent="0.2">
      <c r="B11" s="182" t="s">
        <v>149</v>
      </c>
      <c r="C11" s="227" t="s">
        <v>313</v>
      </c>
      <c r="D11" s="234" cm="1">
        <f t="array" ref="D11">INDEX(E11:J11,$C$6)</f>
        <v>0</v>
      </c>
      <c r="E11" s="79">
        <v>-0.05</v>
      </c>
      <c r="F11" s="79">
        <v>-2.5000000000000001E-2</v>
      </c>
      <c r="G11" s="79">
        <v>0</v>
      </c>
      <c r="H11" s="79">
        <v>2.5000000000000001E-2</v>
      </c>
      <c r="I11" s="79">
        <v>0.05</v>
      </c>
      <c r="J11" s="71"/>
    </row>
    <row r="12" spans="1:10" outlineLevel="1" x14ac:dyDescent="0.2">
      <c r="B12" s="182" t="s">
        <v>150</v>
      </c>
      <c r="C12" s="227" t="s">
        <v>313</v>
      </c>
      <c r="D12" s="234" cm="1">
        <f t="array" ref="D12">INDEX(E12:J12,$C$6)</f>
        <v>0</v>
      </c>
      <c r="E12" s="79">
        <v>-0.05</v>
      </c>
      <c r="F12" s="79">
        <v>-2.5000000000000001E-2</v>
      </c>
      <c r="G12" s="79">
        <v>0</v>
      </c>
      <c r="H12" s="79">
        <v>2.5000000000000001E-2</v>
      </c>
      <c r="I12" s="79">
        <v>0.05</v>
      </c>
      <c r="J12" s="71"/>
    </row>
    <row r="13" spans="1:10" x14ac:dyDescent="0.2">
      <c r="D13" s="234"/>
      <c r="E13" s="232"/>
      <c r="F13" s="232"/>
      <c r="G13" s="232"/>
      <c r="H13" s="232"/>
      <c r="I13" s="232"/>
    </row>
    <row r="14" spans="1:10" s="94" customFormat="1" x14ac:dyDescent="0.2">
      <c r="A14" s="88" t="s">
        <v>126</v>
      </c>
      <c r="B14" s="109" t="s">
        <v>309</v>
      </c>
      <c r="C14" s="230"/>
      <c r="D14" s="235"/>
      <c r="E14" s="233"/>
      <c r="F14" s="233"/>
      <c r="G14" s="233"/>
      <c r="H14" s="233"/>
      <c r="I14" s="233"/>
    </row>
    <row r="15" spans="1:10" outlineLevel="1" x14ac:dyDescent="0.2">
      <c r="D15" s="234"/>
      <c r="E15" s="232"/>
      <c r="F15" s="232"/>
      <c r="G15" s="232"/>
      <c r="H15" s="232"/>
      <c r="I15" s="232"/>
    </row>
    <row r="16" spans="1:10" outlineLevel="1" x14ac:dyDescent="0.2">
      <c r="B16" s="182" t="s">
        <v>161</v>
      </c>
      <c r="C16" s="227" t="s">
        <v>313</v>
      </c>
      <c r="D16" s="234" cm="1">
        <f t="array" ref="D16">INDEX(E16:J16,$C$6)</f>
        <v>0</v>
      </c>
      <c r="E16" s="79">
        <v>-0.05</v>
      </c>
      <c r="F16" s="79">
        <v>-2.5000000000000001E-2</v>
      </c>
      <c r="G16" s="79">
        <v>0</v>
      </c>
      <c r="H16" s="79">
        <v>2.5000000000000001E-2</v>
      </c>
      <c r="I16" s="79">
        <v>0.05</v>
      </c>
      <c r="J16" s="71"/>
    </row>
    <row r="17" spans="1:10" outlineLevel="1" x14ac:dyDescent="0.2">
      <c r="B17" s="228"/>
      <c r="C17" s="231"/>
      <c r="D17" s="234"/>
      <c r="E17" s="232"/>
      <c r="F17" s="232"/>
      <c r="G17" s="232"/>
      <c r="H17" s="232"/>
      <c r="I17" s="232"/>
    </row>
    <row r="18" spans="1:10" outlineLevel="1" x14ac:dyDescent="0.2">
      <c r="B18" s="182" t="s">
        <v>153</v>
      </c>
      <c r="C18" s="227" t="s">
        <v>313</v>
      </c>
      <c r="D18" s="234" cm="1">
        <f t="array" ref="D18">INDEX(E18:J18,$C$6)</f>
        <v>0</v>
      </c>
      <c r="E18" s="79">
        <v>-0.05</v>
      </c>
      <c r="F18" s="79">
        <v>-2.5000000000000001E-2</v>
      </c>
      <c r="G18" s="79">
        <v>0</v>
      </c>
      <c r="H18" s="79">
        <v>2.5000000000000001E-2</v>
      </c>
      <c r="I18" s="79">
        <v>0.05</v>
      </c>
      <c r="J18" s="71"/>
    </row>
    <row r="19" spans="1:10" outlineLevel="1" x14ac:dyDescent="0.2">
      <c r="B19" s="182" t="s">
        <v>154</v>
      </c>
      <c r="C19" s="227" t="s">
        <v>313</v>
      </c>
      <c r="D19" s="234" cm="1">
        <f t="array" ref="D19">INDEX(E19:J19,$C$6)</f>
        <v>0</v>
      </c>
      <c r="E19" s="79">
        <v>-0.05</v>
      </c>
      <c r="F19" s="79">
        <v>-2.5000000000000001E-2</v>
      </c>
      <c r="G19" s="79">
        <v>0</v>
      </c>
      <c r="H19" s="79">
        <v>2.5000000000000001E-2</v>
      </c>
      <c r="I19" s="79">
        <v>0.05</v>
      </c>
      <c r="J19" s="71"/>
    </row>
    <row r="20" spans="1:10" outlineLevel="1" x14ac:dyDescent="0.2">
      <c r="B20" s="182" t="s">
        <v>128</v>
      </c>
      <c r="C20" s="227" t="s">
        <v>313</v>
      </c>
      <c r="D20" s="234" cm="1">
        <f t="array" ref="D20">INDEX(E20:J20,$C$6)</f>
        <v>0</v>
      </c>
      <c r="E20" s="79">
        <v>-0.05</v>
      </c>
      <c r="F20" s="79">
        <v>-2.5000000000000001E-2</v>
      </c>
      <c r="G20" s="79">
        <v>0</v>
      </c>
      <c r="H20" s="79">
        <v>2.5000000000000001E-2</v>
      </c>
      <c r="I20" s="79">
        <v>0.05</v>
      </c>
      <c r="J20" s="71"/>
    </row>
    <row r="21" spans="1:10" outlineLevel="1" x14ac:dyDescent="0.2">
      <c r="B21" s="182" t="s">
        <v>21</v>
      </c>
      <c r="C21" s="227" t="s">
        <v>313</v>
      </c>
      <c r="D21" s="234" cm="1">
        <f t="array" ref="D21">INDEX(E21:J21,$C$6)</f>
        <v>0</v>
      </c>
      <c r="E21" s="79">
        <v>-0.05</v>
      </c>
      <c r="F21" s="79">
        <v>-2.5000000000000001E-2</v>
      </c>
      <c r="G21" s="79">
        <v>0</v>
      </c>
      <c r="H21" s="79">
        <v>2.5000000000000001E-2</v>
      </c>
      <c r="I21" s="79">
        <v>0.05</v>
      </c>
      <c r="J21" s="71"/>
    </row>
    <row r="22" spans="1:10" outlineLevel="1" x14ac:dyDescent="0.2">
      <c r="B22" s="182" t="s">
        <v>13</v>
      </c>
      <c r="C22" s="227" t="s">
        <v>313</v>
      </c>
      <c r="D22" s="234" cm="1">
        <f t="array" ref="D22">INDEX(E22:J22,$C$6)</f>
        <v>0</v>
      </c>
      <c r="E22" s="79">
        <v>-0.05</v>
      </c>
      <c r="F22" s="79">
        <v>-2.5000000000000001E-2</v>
      </c>
      <c r="G22" s="79">
        <v>0</v>
      </c>
      <c r="H22" s="79">
        <v>2.5000000000000001E-2</v>
      </c>
      <c r="I22" s="79">
        <v>0.05</v>
      </c>
      <c r="J22" s="71"/>
    </row>
    <row r="24" spans="1:10" s="94" customFormat="1" x14ac:dyDescent="0.2">
      <c r="A24" s="88" t="s">
        <v>126</v>
      </c>
      <c r="B24" s="109" t="s">
        <v>311</v>
      </c>
      <c r="C24" s="230"/>
    </row>
    <row r="25" spans="1:10" outlineLevel="1" x14ac:dyDescent="0.2"/>
    <row r="26" spans="1:10" outlineLevel="1" x14ac:dyDescent="0.2">
      <c r="B26" s="3" t="s">
        <v>66</v>
      </c>
      <c r="C26" s="227" t="s">
        <v>313</v>
      </c>
      <c r="D26" s="234" cm="1">
        <f t="array" ref="D26">INDEX(E26:J26,$C$6)</f>
        <v>0</v>
      </c>
      <c r="E26" s="79">
        <v>-0.05</v>
      </c>
      <c r="F26" s="79">
        <v>-2.5000000000000001E-2</v>
      </c>
      <c r="G26" s="79">
        <v>0</v>
      </c>
      <c r="H26" s="79">
        <v>2.5000000000000001E-2</v>
      </c>
      <c r="I26" s="79">
        <v>0.05</v>
      </c>
      <c r="J26" s="71"/>
    </row>
    <row r="27" spans="1:10" outlineLevel="1" x14ac:dyDescent="0.2">
      <c r="B27" s="3" t="s">
        <v>94</v>
      </c>
      <c r="C27" s="227" t="s">
        <v>313</v>
      </c>
      <c r="D27" s="234" cm="1">
        <f t="array" ref="D27">INDEX(E27:J27,$C$6)</f>
        <v>0</v>
      </c>
      <c r="E27" s="79">
        <v>-0.05</v>
      </c>
      <c r="F27" s="79">
        <v>-2.5000000000000001E-2</v>
      </c>
      <c r="G27" s="79">
        <v>0</v>
      </c>
      <c r="H27" s="79">
        <v>2.5000000000000001E-2</v>
      </c>
      <c r="I27" s="79">
        <v>0.05</v>
      </c>
      <c r="J27" s="71"/>
    </row>
    <row r="29" spans="1:10" s="94" customFormat="1" x14ac:dyDescent="0.2">
      <c r="A29" s="88" t="s">
        <v>126</v>
      </c>
      <c r="B29" s="109" t="s">
        <v>312</v>
      </c>
      <c r="C29" s="230"/>
    </row>
    <row r="30" spans="1:10" outlineLevel="1" x14ac:dyDescent="0.2"/>
    <row r="31" spans="1:10" outlineLevel="1" x14ac:dyDescent="0.2">
      <c r="B31" s="3" t="s">
        <v>73</v>
      </c>
      <c r="C31" s="227" t="s">
        <v>313</v>
      </c>
      <c r="D31" s="234" cm="1">
        <f t="array" ref="D31">INDEX(E31:J31,$C$6)</f>
        <v>0</v>
      </c>
      <c r="E31" s="79">
        <v>-0.05</v>
      </c>
      <c r="F31" s="79">
        <v>-2.5000000000000001E-2</v>
      </c>
      <c r="G31" s="79">
        <v>0</v>
      </c>
      <c r="H31" s="79">
        <v>2.5000000000000001E-2</v>
      </c>
      <c r="I31" s="79">
        <v>0.05</v>
      </c>
      <c r="J31" s="71"/>
    </row>
    <row r="33" spans="1:3" s="94" customFormat="1" x14ac:dyDescent="0.2">
      <c r="A33" s="88" t="s">
        <v>126</v>
      </c>
      <c r="B33" s="109" t="s">
        <v>118</v>
      </c>
      <c r="C33" s="230"/>
    </row>
  </sheetData>
  <phoneticPr fontId="49" type="noConversion"/>
  <dataValidations count="1">
    <dataValidation type="list" allowBlank="1" showInputMessage="1" showErrorMessage="1" sqref="C6" xr:uid="{170547D3-ECA6-9D43-A65D-1CBD8E5AA951}">
      <formula1>$E$6:$J$6</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J83"/>
  <sheetViews>
    <sheetView showGridLines="0" zoomScaleNormal="100" workbookViewId="0">
      <pane xSplit="4" ySplit="5" topLeftCell="E6" activePane="bottomRight" state="frozen"/>
      <selection pane="topRight"/>
      <selection pane="bottomLeft"/>
      <selection pane="bottomRight"/>
    </sheetView>
  </sheetViews>
  <sheetFormatPr baseColWidth="10" defaultColWidth="8.83203125" defaultRowHeight="16" outlineLevelRow="1" x14ac:dyDescent="0.2"/>
  <cols>
    <col min="1" max="1" width="3.83203125" style="1" customWidth="1"/>
    <col min="2" max="2" width="76" style="1" customWidth="1"/>
    <col min="3" max="3" width="11.6640625" style="1" customWidth="1"/>
    <col min="4" max="4" width="23.1640625" style="1" customWidth="1"/>
    <col min="5" max="9" width="12" style="1" customWidth="1"/>
    <col min="10" max="10" width="46.83203125" style="85" customWidth="1"/>
    <col min="11" max="16384" width="8.83203125" style="1"/>
  </cols>
  <sheetData>
    <row r="1" spans="1:10" ht="20" x14ac:dyDescent="0.2">
      <c r="A1" s="193" t="str">
        <f>Contents!$A1</f>
        <v>Bolt Technology OÜ|Pre-IPO Equity Valuation Model</v>
      </c>
    </row>
    <row r="2" spans="1:10" x14ac:dyDescent="0.2">
      <c r="A2" s="105" t="str">
        <f>Contents!$A2</f>
        <v>Source: Bolt Technology OÜ Consolidated Annual Report 2024-25 (AS PricewaterhouseCoopers audit)</v>
      </c>
    </row>
    <row r="3" spans="1:10" x14ac:dyDescent="0.2">
      <c r="A3" s="110"/>
      <c r="E3" s="47"/>
      <c r="F3" s="47"/>
    </row>
    <row r="4" spans="1:10" s="68" customFormat="1" x14ac:dyDescent="0.2">
      <c r="C4" s="68" t="s">
        <v>1</v>
      </c>
      <c r="E4" s="68" t="str">
        <f>i_Historical!E4</f>
        <v>2024A</v>
      </c>
      <c r="F4" s="68" t="str">
        <f>i_Historical!F4</f>
        <v>2025A</v>
      </c>
      <c r="G4" s="68" t="str">
        <f>i_Historical!G4</f>
        <v>2026E</v>
      </c>
      <c r="H4" s="68" t="str">
        <f>i_Historical!H4</f>
        <v>2027E</v>
      </c>
      <c r="I4" s="68" t="str">
        <f>i_Historical!I4</f>
        <v>2028E</v>
      </c>
      <c r="J4" s="83" t="s">
        <v>302</v>
      </c>
    </row>
    <row r="5" spans="1:10" s="68" customFormat="1" x14ac:dyDescent="0.2">
      <c r="E5" s="68" t="str">
        <f>i_Historical!E5</f>
        <v>Actual</v>
      </c>
      <c r="F5" s="68" t="str">
        <f>i_Historical!F5</f>
        <v>Actual</v>
      </c>
      <c r="G5" s="68" t="str">
        <f>i_Historical!G5</f>
        <v>Estimate</v>
      </c>
      <c r="H5" s="68" t="str">
        <f>i_Historical!H5</f>
        <v>Estimate</v>
      </c>
      <c r="I5" s="68" t="str">
        <f>i_Historical!I5</f>
        <v>Estimate</v>
      </c>
      <c r="J5" s="84"/>
    </row>
    <row r="6" spans="1:10" s="94" customFormat="1" x14ac:dyDescent="0.2">
      <c r="A6" s="88" t="s">
        <v>126</v>
      </c>
      <c r="B6" s="109" t="s">
        <v>298</v>
      </c>
      <c r="J6" s="88"/>
    </row>
    <row r="7" spans="1:10" outlineLevel="1" x14ac:dyDescent="0.2"/>
    <row r="8" spans="1:10" outlineLevel="1" x14ac:dyDescent="0.2">
      <c r="B8" s="3" t="s">
        <v>4</v>
      </c>
      <c r="C8" s="14" t="s">
        <v>56</v>
      </c>
      <c r="E8" s="71"/>
      <c r="F8" s="71"/>
      <c r="G8" s="79">
        <v>0.12</v>
      </c>
      <c r="H8" s="79">
        <v>0.11</v>
      </c>
      <c r="I8" s="79">
        <v>0.1</v>
      </c>
      <c r="J8" s="96" t="s">
        <v>57</v>
      </c>
    </row>
    <row r="9" spans="1:10" outlineLevel="1" x14ac:dyDescent="0.2">
      <c r="B9" s="3" t="s">
        <v>149</v>
      </c>
      <c r="C9" s="14" t="s">
        <v>56</v>
      </c>
      <c r="E9" s="71"/>
      <c r="F9" s="71"/>
      <c r="G9" s="79">
        <v>0.18</v>
      </c>
      <c r="H9" s="79">
        <v>0.16</v>
      </c>
      <c r="I9" s="79">
        <v>0.14000000000000001</v>
      </c>
      <c r="J9" s="96" t="s">
        <v>58</v>
      </c>
    </row>
    <row r="10" spans="1:10" outlineLevel="1" x14ac:dyDescent="0.2">
      <c r="B10" s="3" t="s">
        <v>150</v>
      </c>
      <c r="C10" s="14" t="s">
        <v>56</v>
      </c>
      <c r="E10" s="71"/>
      <c r="F10" s="71"/>
      <c r="G10" s="79">
        <v>0.15</v>
      </c>
      <c r="H10" s="79">
        <v>0.15</v>
      </c>
      <c r="I10" s="79">
        <v>0.12</v>
      </c>
      <c r="J10" s="96" t="s">
        <v>59</v>
      </c>
    </row>
    <row r="11" spans="1:10" x14ac:dyDescent="0.2">
      <c r="B11" s="2"/>
      <c r="J11" s="97"/>
    </row>
    <row r="12" spans="1:10" s="94" customFormat="1" x14ac:dyDescent="0.2">
      <c r="A12" s="88" t="s">
        <v>126</v>
      </c>
      <c r="B12" s="109" t="s">
        <v>163</v>
      </c>
      <c r="J12" s="98"/>
    </row>
    <row r="13" spans="1:10" outlineLevel="1" x14ac:dyDescent="0.2">
      <c r="B13" s="2"/>
      <c r="J13" s="97"/>
    </row>
    <row r="14" spans="1:10" outlineLevel="1" x14ac:dyDescent="0.2">
      <c r="B14" s="3" t="s">
        <v>161</v>
      </c>
      <c r="C14" s="14" t="s">
        <v>56</v>
      </c>
      <c r="E14" s="71"/>
      <c r="F14" s="71"/>
      <c r="G14" s="79">
        <v>0.35499999999999998</v>
      </c>
      <c r="H14" s="79">
        <v>0.35</v>
      </c>
      <c r="I14" s="79">
        <v>0.34499999999999997</v>
      </c>
      <c r="J14" s="96" t="s">
        <v>60</v>
      </c>
    </row>
    <row r="15" spans="1:10" outlineLevel="1" x14ac:dyDescent="0.2">
      <c r="B15" s="3"/>
      <c r="C15" s="14"/>
      <c r="J15" s="99"/>
    </row>
    <row r="16" spans="1:10" outlineLevel="1" x14ac:dyDescent="0.2">
      <c r="B16" s="3" t="s">
        <v>153</v>
      </c>
      <c r="C16" s="14" t="s">
        <v>56</v>
      </c>
      <c r="E16" s="71"/>
      <c r="F16" s="71"/>
      <c r="G16" s="79">
        <v>0.45</v>
      </c>
      <c r="H16" s="79">
        <v>0.42499999999999999</v>
      </c>
      <c r="I16" s="79">
        <v>0.4</v>
      </c>
      <c r="J16" s="96" t="s">
        <v>283</v>
      </c>
    </row>
    <row r="17" spans="1:10" outlineLevel="1" x14ac:dyDescent="0.2">
      <c r="B17" s="3" t="s">
        <v>154</v>
      </c>
      <c r="C17" s="14" t="s">
        <v>56</v>
      </c>
      <c r="E17" s="71"/>
      <c r="F17" s="71"/>
      <c r="G17" s="79">
        <v>0.05</v>
      </c>
      <c r="H17" s="79">
        <v>0.05</v>
      </c>
      <c r="I17" s="79">
        <v>0.05</v>
      </c>
      <c r="J17" s="96" t="s">
        <v>61</v>
      </c>
    </row>
    <row r="18" spans="1:10" outlineLevel="1" x14ac:dyDescent="0.2">
      <c r="B18" s="3" t="s">
        <v>128</v>
      </c>
      <c r="C18" s="14" t="s">
        <v>56</v>
      </c>
      <c r="E18" s="71"/>
      <c r="F18" s="71"/>
      <c r="G18" s="79">
        <v>0.12</v>
      </c>
      <c r="H18" s="79">
        <v>0.12</v>
      </c>
      <c r="I18" s="79">
        <v>0.12</v>
      </c>
      <c r="J18" s="96" t="s">
        <v>62</v>
      </c>
    </row>
    <row r="19" spans="1:10" outlineLevel="1" x14ac:dyDescent="0.2">
      <c r="B19" s="3" t="s">
        <v>21</v>
      </c>
      <c r="C19" s="14" t="s">
        <v>56</v>
      </c>
      <c r="E19" s="71"/>
      <c r="F19" s="71"/>
      <c r="G19" s="79">
        <v>0.02</v>
      </c>
      <c r="H19" s="79">
        <v>0.02</v>
      </c>
      <c r="I19" s="79">
        <v>0.02</v>
      </c>
      <c r="J19" s="96" t="s">
        <v>78</v>
      </c>
    </row>
    <row r="20" spans="1:10" outlineLevel="1" x14ac:dyDescent="0.2">
      <c r="B20" s="3" t="s">
        <v>13</v>
      </c>
      <c r="C20" s="14" t="s">
        <v>56</v>
      </c>
      <c r="E20" s="71"/>
      <c r="F20" s="71"/>
      <c r="G20" s="79">
        <v>0.01</v>
      </c>
      <c r="H20" s="79">
        <v>0.01</v>
      </c>
      <c r="I20" s="79">
        <v>0.01</v>
      </c>
      <c r="J20" s="96" t="s">
        <v>145</v>
      </c>
    </row>
    <row r="21" spans="1:10" x14ac:dyDescent="0.2">
      <c r="B21" s="2"/>
      <c r="J21" s="97"/>
    </row>
    <row r="22" spans="1:10" s="94" customFormat="1" x14ac:dyDescent="0.2">
      <c r="A22" s="88" t="s">
        <v>126</v>
      </c>
      <c r="B22" s="109" t="s">
        <v>162</v>
      </c>
      <c r="J22" s="98"/>
    </row>
    <row r="23" spans="1:10" outlineLevel="1" x14ac:dyDescent="0.2">
      <c r="B23" s="2"/>
      <c r="J23" s="97"/>
    </row>
    <row r="24" spans="1:10" outlineLevel="1" x14ac:dyDescent="0.2">
      <c r="B24" s="3" t="s">
        <v>137</v>
      </c>
      <c r="C24" s="14" t="s">
        <v>136</v>
      </c>
      <c r="E24" s="71"/>
      <c r="F24" s="71"/>
      <c r="G24" s="81">
        <v>20</v>
      </c>
      <c r="H24" s="81">
        <v>20</v>
      </c>
      <c r="I24" s="81">
        <v>20</v>
      </c>
      <c r="J24" s="96" t="s">
        <v>63</v>
      </c>
    </row>
    <row r="25" spans="1:10" outlineLevel="1" x14ac:dyDescent="0.2">
      <c r="B25" s="3" t="s">
        <v>138</v>
      </c>
      <c r="C25" s="14" t="s">
        <v>136</v>
      </c>
      <c r="E25" s="71"/>
      <c r="F25" s="71"/>
      <c r="G25" s="81">
        <v>85</v>
      </c>
      <c r="H25" s="81">
        <v>80</v>
      </c>
      <c r="I25" s="81">
        <v>80</v>
      </c>
      <c r="J25" s="96" t="s">
        <v>64</v>
      </c>
    </row>
    <row r="26" spans="1:10" outlineLevel="1" x14ac:dyDescent="0.2">
      <c r="B26" s="3" t="str">
        <f>"Closing working capital balance as of " &amp; TEXT(i_Historical!$C$7 - 1, "dd-mm-yyyy")</f>
        <v>Closing working capital balance as of 31-12-2023</v>
      </c>
      <c r="C26" s="14" t="s">
        <v>6</v>
      </c>
      <c r="D26" s="80">
        <v>-34555</v>
      </c>
      <c r="E26" s="71"/>
      <c r="F26" s="71"/>
      <c r="G26" s="71"/>
      <c r="H26" s="71"/>
      <c r="I26" s="71"/>
      <c r="J26" s="96" t="s">
        <v>152</v>
      </c>
    </row>
    <row r="27" spans="1:10" outlineLevel="1" x14ac:dyDescent="0.2">
      <c r="B27" s="2"/>
      <c r="J27" s="97"/>
    </row>
    <row r="28" spans="1:10" outlineLevel="1" x14ac:dyDescent="0.2">
      <c r="B28" s="3" t="s">
        <v>151</v>
      </c>
      <c r="C28" s="14" t="s">
        <v>6</v>
      </c>
      <c r="E28" s="71"/>
      <c r="F28" s="71"/>
      <c r="G28" s="81">
        <v>55000</v>
      </c>
      <c r="H28" s="81">
        <v>55000</v>
      </c>
      <c r="I28" s="81">
        <v>55000</v>
      </c>
      <c r="J28" s="96" t="s">
        <v>144</v>
      </c>
    </row>
    <row r="29" spans="1:10" outlineLevel="1" x14ac:dyDescent="0.2">
      <c r="B29" s="3" t="s">
        <v>284</v>
      </c>
      <c r="C29" s="14" t="s">
        <v>56</v>
      </c>
      <c r="D29" s="79">
        <v>0.3</v>
      </c>
      <c r="E29" s="71"/>
      <c r="F29" s="71"/>
      <c r="G29" s="71"/>
      <c r="H29" s="71"/>
      <c r="I29" s="71"/>
      <c r="J29" s="96" t="s">
        <v>65</v>
      </c>
    </row>
    <row r="30" spans="1:10" outlineLevel="1" x14ac:dyDescent="0.2">
      <c r="B30" s="3" t="str">
        <f>"Closing PPE and ROU balance as of " &amp; TEXT(i_Historical!$C$7 - 1, "dd-mm-yyyy")</f>
        <v>Closing PPE and ROU balance as of 31-12-2023</v>
      </c>
      <c r="C30" s="14" t="s">
        <v>6</v>
      </c>
      <c r="D30" s="80">
        <v>209987</v>
      </c>
      <c r="E30" s="71"/>
      <c r="F30" s="71"/>
      <c r="G30" s="71"/>
      <c r="H30" s="71"/>
      <c r="I30" s="71"/>
      <c r="J30" s="96" t="s">
        <v>152</v>
      </c>
    </row>
    <row r="31" spans="1:10" outlineLevel="1" x14ac:dyDescent="0.2">
      <c r="B31" s="3" t="s">
        <v>189</v>
      </c>
      <c r="C31" s="14" t="s">
        <v>6</v>
      </c>
      <c r="E31" s="71"/>
      <c r="F31" s="71"/>
      <c r="G31" s="81"/>
      <c r="H31" s="81"/>
      <c r="I31" s="81"/>
      <c r="J31" s="96" t="s">
        <v>190</v>
      </c>
    </row>
    <row r="32" spans="1:10" x14ac:dyDescent="0.2">
      <c r="B32" s="2"/>
      <c r="J32" s="97"/>
    </row>
    <row r="33" spans="1:10" s="94" customFormat="1" x14ac:dyDescent="0.2">
      <c r="A33" s="88" t="s">
        <v>126</v>
      </c>
      <c r="B33" s="109" t="s">
        <v>160</v>
      </c>
      <c r="J33" s="98"/>
    </row>
    <row r="34" spans="1:10" outlineLevel="1" x14ac:dyDescent="0.2">
      <c r="B34" s="2"/>
      <c r="J34" s="97"/>
    </row>
    <row r="35" spans="1:10" outlineLevel="1" x14ac:dyDescent="0.2">
      <c r="B35" s="1" t="s">
        <v>155</v>
      </c>
      <c r="C35" s="14" t="s">
        <v>56</v>
      </c>
      <c r="D35" s="79">
        <v>4.4999999999999998E-2</v>
      </c>
      <c r="E35" s="71"/>
      <c r="F35" s="71"/>
      <c r="G35" s="71"/>
      <c r="H35" s="71"/>
      <c r="I35" s="71"/>
      <c r="J35" s="96" t="s">
        <v>157</v>
      </c>
    </row>
    <row r="36" spans="1:10" outlineLevel="1" x14ac:dyDescent="0.2">
      <c r="B36" s="1" t="s">
        <v>197</v>
      </c>
      <c r="C36" s="14" t="s">
        <v>6</v>
      </c>
      <c r="D36" s="14"/>
      <c r="E36" s="71"/>
      <c r="F36" s="71"/>
      <c r="G36" s="81">
        <v>-527</v>
      </c>
      <c r="H36" s="81"/>
      <c r="I36" s="81"/>
      <c r="J36" s="96" t="s">
        <v>304</v>
      </c>
    </row>
    <row r="37" spans="1:10" outlineLevel="1" x14ac:dyDescent="0.2">
      <c r="B37" s="3" t="str">
        <f>"Closing debt balance as of "&amp; TEXT(i_Historical!$C$7 - 1, "dd-mm-yyyy")</f>
        <v>Closing debt balance as of 31-12-2023</v>
      </c>
      <c r="C37" s="14" t="s">
        <v>6</v>
      </c>
      <c r="D37" s="80">
        <v>139715</v>
      </c>
      <c r="E37" s="71"/>
      <c r="F37" s="71"/>
      <c r="G37" s="71"/>
      <c r="H37" s="71"/>
      <c r="I37" s="71"/>
      <c r="J37" s="96" t="s">
        <v>152</v>
      </c>
    </row>
    <row r="38" spans="1:10" outlineLevel="1" x14ac:dyDescent="0.2">
      <c r="B38" s="3"/>
      <c r="C38" s="3"/>
      <c r="D38" s="3"/>
      <c r="E38" s="3"/>
      <c r="F38" s="3"/>
      <c r="G38" s="3"/>
      <c r="H38" s="3"/>
      <c r="I38" s="3"/>
      <c r="J38" s="100"/>
    </row>
    <row r="39" spans="1:10" outlineLevel="1" x14ac:dyDescent="0.2">
      <c r="B39" s="1" t="s">
        <v>165</v>
      </c>
      <c r="C39" s="14" t="s">
        <v>56</v>
      </c>
      <c r="D39" s="79">
        <v>7.4300000000000005E-2</v>
      </c>
      <c r="E39" s="71"/>
      <c r="F39" s="71"/>
      <c r="G39" s="71"/>
      <c r="H39" s="71"/>
      <c r="I39" s="71"/>
      <c r="J39" s="96" t="s">
        <v>175</v>
      </c>
    </row>
    <row r="40" spans="1:10" outlineLevel="1" x14ac:dyDescent="0.2">
      <c r="B40" s="3" t="str">
        <f>"Closing lease liabilities as of "&amp; TEXT(i_Historical!$C$7 - 1, "dd-mm-yyyy")</f>
        <v>Closing lease liabilities as of 31-12-2023</v>
      </c>
      <c r="C40" s="14" t="s">
        <v>6</v>
      </c>
      <c r="D40" s="80">
        <v>96820</v>
      </c>
      <c r="E40" s="71"/>
      <c r="F40" s="71"/>
      <c r="G40" s="71"/>
      <c r="H40" s="71"/>
      <c r="I40" s="71"/>
      <c r="J40" s="96" t="s">
        <v>152</v>
      </c>
    </row>
    <row r="41" spans="1:10" outlineLevel="1" x14ac:dyDescent="0.2">
      <c r="B41" s="3" t="s">
        <v>180</v>
      </c>
      <c r="C41" s="14" t="s">
        <v>6</v>
      </c>
      <c r="E41" s="71"/>
      <c r="F41" s="71"/>
      <c r="G41" s="81">
        <f>PMT($D$39,$D$42,-c_FS!$F$52)</f>
        <v>18225.083499484805</v>
      </c>
      <c r="H41" s="81">
        <f>PMT($D$39,$D$42,-c_FS!$F$52)</f>
        <v>18225.083499484805</v>
      </c>
      <c r="I41" s="81">
        <f>PMT($D$39,$D$42,-c_FS!$F$52)</f>
        <v>18225.083499484805</v>
      </c>
      <c r="J41" s="96" t="s">
        <v>211</v>
      </c>
    </row>
    <row r="42" spans="1:10" outlineLevel="1" x14ac:dyDescent="0.2">
      <c r="B42" s="1" t="s">
        <v>209</v>
      </c>
      <c r="C42" s="14" t="s">
        <v>210</v>
      </c>
      <c r="D42" s="80">
        <v>8</v>
      </c>
      <c r="J42" s="97"/>
    </row>
    <row r="43" spans="1:10" x14ac:dyDescent="0.2">
      <c r="C43" s="14"/>
      <c r="J43" s="65"/>
    </row>
    <row r="44" spans="1:10" s="94" customFormat="1" x14ac:dyDescent="0.2">
      <c r="A44" s="88" t="s">
        <v>126</v>
      </c>
      <c r="B44" s="109" t="s">
        <v>143</v>
      </c>
      <c r="J44" s="98"/>
    </row>
    <row r="45" spans="1:10" outlineLevel="1" x14ac:dyDescent="0.2">
      <c r="B45" s="2"/>
      <c r="J45" s="97"/>
    </row>
    <row r="46" spans="1:10" outlineLevel="1" x14ac:dyDescent="0.2">
      <c r="B46" s="3" t="s">
        <v>156</v>
      </c>
      <c r="C46" s="14" t="s">
        <v>56</v>
      </c>
      <c r="D46" s="79">
        <v>0.02</v>
      </c>
      <c r="E46" s="71"/>
      <c r="F46" s="71"/>
      <c r="G46" s="71"/>
      <c r="H46" s="71"/>
      <c r="I46" s="71"/>
      <c r="J46" s="96" t="s">
        <v>164</v>
      </c>
    </row>
    <row r="47" spans="1:10" outlineLevel="1" x14ac:dyDescent="0.2">
      <c r="B47" s="3" t="str">
        <f>"Closing cash balance as of "&amp; TEXT(i_Historical!$C$7 - 1, "dd-mm-yyyy")</f>
        <v>Closing cash balance as of 31-12-2023</v>
      </c>
      <c r="C47" s="14" t="s">
        <v>6</v>
      </c>
      <c r="D47" s="80">
        <v>325013</v>
      </c>
      <c r="E47" s="71"/>
      <c r="F47" s="71"/>
      <c r="G47" s="71"/>
      <c r="H47" s="71"/>
      <c r="I47" s="71"/>
      <c r="J47" s="96" t="s">
        <v>152</v>
      </c>
    </row>
    <row r="48" spans="1:10" outlineLevel="1" x14ac:dyDescent="0.2">
      <c r="B48" s="3"/>
      <c r="C48" s="14"/>
      <c r="D48" s="14"/>
      <c r="E48" s="14"/>
      <c r="F48" s="14"/>
      <c r="G48" s="14"/>
      <c r="H48" s="14"/>
      <c r="I48" s="14"/>
      <c r="J48" s="101"/>
    </row>
    <row r="49" spans="1:10" outlineLevel="1" x14ac:dyDescent="0.2">
      <c r="B49" s="3" t="s">
        <v>148</v>
      </c>
      <c r="C49" s="14" t="s">
        <v>56</v>
      </c>
      <c r="D49" s="79">
        <v>0.22</v>
      </c>
      <c r="E49" s="71"/>
      <c r="F49" s="71"/>
      <c r="G49" s="71"/>
      <c r="H49" s="71"/>
      <c r="I49" s="71"/>
      <c r="J49" s="65"/>
    </row>
    <row r="50" spans="1:10" outlineLevel="1" x14ac:dyDescent="0.2">
      <c r="B50" s="3" t="s">
        <v>159</v>
      </c>
      <c r="C50" s="14" t="s">
        <v>6</v>
      </c>
      <c r="D50" s="14"/>
      <c r="E50" s="71"/>
      <c r="F50" s="71"/>
      <c r="G50" s="81">
        <v>0</v>
      </c>
      <c r="H50" s="81">
        <v>0</v>
      </c>
      <c r="I50" s="81">
        <v>0</v>
      </c>
      <c r="J50" s="65"/>
    </row>
    <row r="51" spans="1:10" x14ac:dyDescent="0.2">
      <c r="B51" s="2"/>
      <c r="J51" s="97"/>
    </row>
    <row r="52" spans="1:10" s="94" customFormat="1" x14ac:dyDescent="0.2">
      <c r="A52" s="88" t="s">
        <v>126</v>
      </c>
      <c r="B52" s="109" t="s">
        <v>127</v>
      </c>
      <c r="J52" s="98"/>
    </row>
    <row r="53" spans="1:10" outlineLevel="1" x14ac:dyDescent="0.2">
      <c r="B53" s="2"/>
      <c r="J53" s="102"/>
    </row>
    <row r="54" spans="1:10" outlineLevel="1" x14ac:dyDescent="0.2">
      <c r="B54" s="3" t="s">
        <v>66</v>
      </c>
      <c r="C54" s="69" t="s">
        <v>56</v>
      </c>
      <c r="D54" s="70">
        <v>0.105</v>
      </c>
      <c r="E54" s="71"/>
      <c r="F54" s="71"/>
      <c r="G54" s="71"/>
      <c r="H54" s="71"/>
      <c r="I54" s="71"/>
      <c r="J54" s="96" t="s">
        <v>303</v>
      </c>
    </row>
    <row r="55" spans="1:10" outlineLevel="1" x14ac:dyDescent="0.2">
      <c r="B55" s="3" t="s">
        <v>259</v>
      </c>
      <c r="C55" s="69" t="s">
        <v>244</v>
      </c>
      <c r="D55" s="74">
        <v>1</v>
      </c>
      <c r="E55" s="71"/>
      <c r="F55" s="71"/>
      <c r="G55" s="71"/>
      <c r="H55" s="71"/>
      <c r="I55" s="71"/>
      <c r="J55" s="103" t="s">
        <v>269</v>
      </c>
    </row>
    <row r="56" spans="1:10" outlineLevel="1" x14ac:dyDescent="0.2">
      <c r="B56" s="3"/>
      <c r="C56" s="3"/>
      <c r="D56" s="3"/>
      <c r="E56" s="3"/>
      <c r="F56" s="3"/>
      <c r="G56" s="3"/>
      <c r="H56" s="3"/>
      <c r="I56" s="3"/>
      <c r="J56" s="59"/>
    </row>
    <row r="57" spans="1:10" outlineLevel="1" x14ac:dyDescent="0.2">
      <c r="B57" s="3" t="s">
        <v>286</v>
      </c>
      <c r="C57" s="69" t="s">
        <v>56</v>
      </c>
      <c r="D57" s="70">
        <v>0.04</v>
      </c>
      <c r="E57" s="71"/>
      <c r="F57" s="71"/>
      <c r="G57" s="71"/>
      <c r="H57" s="71"/>
      <c r="I57" s="71"/>
      <c r="J57" s="96" t="s">
        <v>207</v>
      </c>
    </row>
    <row r="58" spans="1:10" outlineLevel="1" x14ac:dyDescent="0.2">
      <c r="B58" s="3" t="s">
        <v>285</v>
      </c>
      <c r="C58" s="69" t="s">
        <v>67</v>
      </c>
      <c r="D58" s="75">
        <v>2.5</v>
      </c>
      <c r="E58" s="71"/>
      <c r="F58" s="71"/>
      <c r="G58" s="71"/>
      <c r="H58" s="71"/>
      <c r="I58" s="71"/>
      <c r="J58" s="96" t="s">
        <v>68</v>
      </c>
    </row>
    <row r="59" spans="1:10" outlineLevel="1" x14ac:dyDescent="0.2">
      <c r="B59" s="3" t="s">
        <v>287</v>
      </c>
      <c r="C59" s="69" t="s">
        <v>67</v>
      </c>
      <c r="D59" s="75">
        <v>20</v>
      </c>
      <c r="E59" s="71"/>
      <c r="F59" s="71"/>
      <c r="G59" s="71"/>
      <c r="H59" s="71"/>
      <c r="I59" s="71"/>
      <c r="J59" s="96" t="s">
        <v>69</v>
      </c>
    </row>
    <row r="60" spans="1:10" outlineLevel="1" x14ac:dyDescent="0.2">
      <c r="B60" s="3"/>
      <c r="C60" s="3"/>
      <c r="D60" s="3"/>
      <c r="E60" s="3"/>
      <c r="F60" s="3"/>
      <c r="G60" s="3"/>
      <c r="H60" s="3"/>
      <c r="I60" s="3"/>
      <c r="J60" s="100"/>
    </row>
    <row r="61" spans="1:10" outlineLevel="1" x14ac:dyDescent="0.2">
      <c r="B61" s="3" t="s">
        <v>226</v>
      </c>
      <c r="C61" s="69" t="s">
        <v>46</v>
      </c>
      <c r="D61" s="76">
        <f>i_Historical!F51</f>
        <v>31223</v>
      </c>
      <c r="E61" s="71"/>
      <c r="F61" s="71"/>
      <c r="G61" s="71"/>
      <c r="H61" s="71"/>
      <c r="I61" s="71"/>
      <c r="J61" s="96" t="s">
        <v>70</v>
      </c>
    </row>
    <row r="62" spans="1:10" outlineLevel="1" x14ac:dyDescent="0.2">
      <c r="B62" s="3" t="s">
        <v>71</v>
      </c>
      <c r="C62" s="69" t="s">
        <v>56</v>
      </c>
      <c r="D62" s="70">
        <v>7.0000000000000007E-2</v>
      </c>
      <c r="E62" s="71"/>
      <c r="F62" s="71"/>
      <c r="G62" s="71"/>
      <c r="H62" s="71"/>
      <c r="I62" s="71"/>
      <c r="J62" s="96" t="s">
        <v>72</v>
      </c>
    </row>
    <row r="63" spans="1:10" outlineLevel="1" x14ac:dyDescent="0.2">
      <c r="B63" s="3" t="s">
        <v>73</v>
      </c>
      <c r="C63" s="69" t="s">
        <v>6</v>
      </c>
      <c r="D63" s="77">
        <v>500000</v>
      </c>
      <c r="E63" s="71"/>
      <c r="F63" s="71"/>
      <c r="G63" s="71"/>
      <c r="H63" s="71"/>
      <c r="I63" s="71"/>
      <c r="J63" s="96" t="s">
        <v>74</v>
      </c>
    </row>
    <row r="64" spans="1:10" outlineLevel="1" x14ac:dyDescent="0.2">
      <c r="B64" s="3"/>
      <c r="C64" s="3"/>
      <c r="D64" s="3"/>
      <c r="E64" s="3"/>
      <c r="F64" s="3"/>
      <c r="G64" s="3"/>
      <c r="H64" s="3"/>
      <c r="I64" s="3"/>
      <c r="J64" s="100"/>
    </row>
    <row r="65" spans="1:10" outlineLevel="1" x14ac:dyDescent="0.2">
      <c r="B65" s="1" t="s">
        <v>299</v>
      </c>
      <c r="C65" s="69" t="s">
        <v>295</v>
      </c>
      <c r="D65" s="87" t="s">
        <v>285</v>
      </c>
      <c r="E65" s="71"/>
      <c r="F65" s="71"/>
      <c r="G65" s="71"/>
      <c r="H65" s="71"/>
      <c r="I65" s="71"/>
      <c r="J65" s="96" t="s">
        <v>297</v>
      </c>
    </row>
    <row r="66" spans="1:10" outlineLevel="1" x14ac:dyDescent="0.2">
      <c r="J66" s="104"/>
    </row>
    <row r="67" spans="1:10" outlineLevel="1" x14ac:dyDescent="0.2">
      <c r="B67" s="1" t="s">
        <v>232</v>
      </c>
      <c r="C67" s="69" t="s">
        <v>56</v>
      </c>
      <c r="D67" s="70">
        <v>0.5</v>
      </c>
      <c r="E67" s="71"/>
      <c r="F67" s="71"/>
      <c r="G67" s="71"/>
      <c r="H67" s="71"/>
      <c r="I67" s="71"/>
      <c r="J67" s="96" t="s">
        <v>233</v>
      </c>
    </row>
    <row r="68" spans="1:10" outlineLevel="1" x14ac:dyDescent="0.2">
      <c r="B68" s="1" t="s">
        <v>236</v>
      </c>
      <c r="C68" s="69" t="s">
        <v>210</v>
      </c>
      <c r="D68" s="78">
        <v>0.5</v>
      </c>
      <c r="E68" s="71"/>
      <c r="F68" s="71"/>
      <c r="G68" s="71"/>
      <c r="H68" s="71"/>
      <c r="I68" s="71"/>
      <c r="J68" s="96" t="s">
        <v>237</v>
      </c>
    </row>
    <row r="69" spans="1:10" outlineLevel="1" x14ac:dyDescent="0.2">
      <c r="B69" s="1" t="s">
        <v>247</v>
      </c>
      <c r="C69" s="69" t="s">
        <v>56</v>
      </c>
      <c r="D69" s="70">
        <v>0.05</v>
      </c>
      <c r="E69" s="71"/>
      <c r="F69" s="71"/>
      <c r="G69" s="71"/>
      <c r="H69" s="71"/>
      <c r="I69" s="71"/>
      <c r="J69" s="96" t="s">
        <v>248</v>
      </c>
    </row>
    <row r="70" spans="1:10" x14ac:dyDescent="0.2">
      <c r="J70" s="97"/>
    </row>
    <row r="71" spans="1:10" s="94" customFormat="1" x14ac:dyDescent="0.2">
      <c r="A71" s="88" t="s">
        <v>126</v>
      </c>
      <c r="B71" s="109" t="s">
        <v>249</v>
      </c>
      <c r="J71" s="98"/>
    </row>
    <row r="72" spans="1:10" outlineLevel="1" x14ac:dyDescent="0.2">
      <c r="B72" s="2"/>
      <c r="J72" s="102"/>
    </row>
    <row r="73" spans="1:10" outlineLevel="1" x14ac:dyDescent="0.2">
      <c r="B73" s="3" t="s">
        <v>250</v>
      </c>
      <c r="C73" s="69" t="s">
        <v>56</v>
      </c>
      <c r="D73" s="70">
        <v>2.5000000000000001E-2</v>
      </c>
      <c r="E73" s="71"/>
      <c r="F73" s="71"/>
      <c r="G73" s="71"/>
      <c r="H73" s="71"/>
      <c r="I73" s="71"/>
      <c r="J73" s="103" t="s">
        <v>260</v>
      </c>
    </row>
    <row r="74" spans="1:10" outlineLevel="1" x14ac:dyDescent="0.2">
      <c r="B74" s="3" t="s">
        <v>251</v>
      </c>
      <c r="C74" s="69" t="s">
        <v>56</v>
      </c>
      <c r="D74" s="70">
        <v>5.5E-2</v>
      </c>
      <c r="E74" s="71"/>
      <c r="F74" s="71"/>
      <c r="G74" s="71"/>
      <c r="H74" s="71"/>
      <c r="I74" s="71"/>
      <c r="J74" s="103" t="s">
        <v>261</v>
      </c>
    </row>
    <row r="75" spans="1:10" outlineLevel="1" x14ac:dyDescent="0.2">
      <c r="B75" s="3" t="s">
        <v>252</v>
      </c>
      <c r="C75" s="69" t="s">
        <v>56</v>
      </c>
      <c r="D75" s="70">
        <v>0.01</v>
      </c>
      <c r="E75" s="71"/>
      <c r="F75" s="71"/>
      <c r="G75" s="71"/>
      <c r="H75" s="71"/>
      <c r="I75" s="71"/>
      <c r="J75" s="103" t="s">
        <v>262</v>
      </c>
    </row>
    <row r="76" spans="1:10" outlineLevel="1" x14ac:dyDescent="0.2">
      <c r="B76" s="3" t="s">
        <v>253</v>
      </c>
      <c r="C76" s="69" t="s">
        <v>67</v>
      </c>
      <c r="D76" s="72">
        <v>1.1000000000000001</v>
      </c>
      <c r="E76" s="71"/>
      <c r="F76" s="71"/>
      <c r="G76" s="71"/>
      <c r="H76" s="71"/>
      <c r="I76" s="71"/>
      <c r="J76" s="103" t="s">
        <v>263</v>
      </c>
    </row>
    <row r="77" spans="1:10" outlineLevel="1" x14ac:dyDescent="0.2">
      <c r="B77" s="3" t="s">
        <v>254</v>
      </c>
      <c r="C77" s="69" t="s">
        <v>56</v>
      </c>
      <c r="D77" s="70">
        <v>0.01</v>
      </c>
      <c r="E77" s="71"/>
      <c r="F77" s="71"/>
      <c r="G77" s="71"/>
      <c r="H77" s="71"/>
      <c r="I77" s="71"/>
      <c r="J77" s="103" t="s">
        <v>264</v>
      </c>
    </row>
    <row r="78" spans="1:10" outlineLevel="1" x14ac:dyDescent="0.2">
      <c r="B78" s="3" t="s">
        <v>255</v>
      </c>
      <c r="C78" s="69" t="s">
        <v>56</v>
      </c>
      <c r="D78" s="73">
        <f>$D$35</f>
        <v>4.4999999999999998E-2</v>
      </c>
      <c r="E78" s="71"/>
      <c r="F78" s="71"/>
      <c r="G78" s="71"/>
      <c r="H78" s="71"/>
      <c r="I78" s="71"/>
      <c r="J78" s="103" t="s">
        <v>265</v>
      </c>
    </row>
    <row r="79" spans="1:10" outlineLevel="1" x14ac:dyDescent="0.2">
      <c r="B79" s="3" t="s">
        <v>256</v>
      </c>
      <c r="C79" s="69" t="s">
        <v>56</v>
      </c>
      <c r="D79" s="73">
        <f>$D$49</f>
        <v>0.22</v>
      </c>
      <c r="E79" s="71"/>
      <c r="F79" s="71"/>
      <c r="G79" s="71"/>
      <c r="H79" s="71"/>
      <c r="I79" s="71"/>
      <c r="J79" s="103" t="s">
        <v>266</v>
      </c>
    </row>
    <row r="80" spans="1:10" outlineLevel="1" x14ac:dyDescent="0.2">
      <c r="B80" s="3" t="s">
        <v>257</v>
      </c>
      <c r="C80" s="69" t="s">
        <v>56</v>
      </c>
      <c r="D80" s="70">
        <v>0.15</v>
      </c>
      <c r="E80" s="71"/>
      <c r="F80" s="71"/>
      <c r="G80" s="71"/>
      <c r="H80" s="71"/>
      <c r="I80" s="71"/>
      <c r="J80" s="103" t="s">
        <v>267</v>
      </c>
    </row>
    <row r="81" spans="1:10" outlineLevel="1" x14ac:dyDescent="0.2">
      <c r="B81" s="3" t="s">
        <v>258</v>
      </c>
      <c r="C81" s="69" t="s">
        <v>56</v>
      </c>
      <c r="D81" s="73">
        <f>1-$D$80</f>
        <v>0.85</v>
      </c>
      <c r="E81" s="71"/>
      <c r="F81" s="71"/>
      <c r="G81" s="71"/>
      <c r="H81" s="71"/>
      <c r="I81" s="71"/>
      <c r="J81" s="103" t="s">
        <v>268</v>
      </c>
    </row>
    <row r="82" spans="1:10" x14ac:dyDescent="0.2">
      <c r="B82" s="2"/>
      <c r="J82" s="102"/>
    </row>
    <row r="83" spans="1:10" s="94" customFormat="1" x14ac:dyDescent="0.2">
      <c r="A83" s="88" t="s">
        <v>126</v>
      </c>
      <c r="B83" s="109" t="s">
        <v>118</v>
      </c>
      <c r="J83" s="88"/>
    </row>
  </sheetData>
  <sheetProtection formatColumns="0" formatRows="0" sort="0" autoFilter="0"/>
  <conditionalFormatting sqref="G8:I10">
    <cfRule type="expression" dxfId="16" priority="9">
      <formula>RIGHT(G$4, 1)="A"</formula>
    </cfRule>
  </conditionalFormatting>
  <conditionalFormatting sqref="G14:I14">
    <cfRule type="expression" dxfId="15" priority="8">
      <formula>RIGHT(G$4, 1)="A"</formula>
    </cfRule>
  </conditionalFormatting>
  <conditionalFormatting sqref="G16:I20">
    <cfRule type="expression" dxfId="14" priority="7">
      <formula>RIGHT(G$4, 1)="A"</formula>
    </cfRule>
  </conditionalFormatting>
  <conditionalFormatting sqref="G24:I25">
    <cfRule type="expression" dxfId="13" priority="6">
      <formula>RIGHT(G$4, 1)="A"</formula>
    </cfRule>
  </conditionalFormatting>
  <conditionalFormatting sqref="G28:I28">
    <cfRule type="expression" dxfId="12" priority="5">
      <formula>RIGHT(G$4, 1)="A"</formula>
    </cfRule>
  </conditionalFormatting>
  <conditionalFormatting sqref="G31:I31">
    <cfRule type="expression" dxfId="11" priority="4">
      <formula>RIGHT(G$4, 1)="A"</formula>
    </cfRule>
  </conditionalFormatting>
  <conditionalFormatting sqref="G36:I36">
    <cfRule type="expression" dxfId="10" priority="3">
      <formula>RIGHT(G$4, 1)="A"</formula>
    </cfRule>
  </conditionalFormatting>
  <conditionalFormatting sqref="G41:I41">
    <cfRule type="expression" dxfId="9" priority="2">
      <formula>RIGHT(G$4, 1)="A"</formula>
    </cfRule>
  </conditionalFormatting>
  <conditionalFormatting sqref="G50:I50">
    <cfRule type="expression" dxfId="8" priority="1">
      <formula>RIGHT(G$4, 1)="A"</formula>
    </cfRule>
  </conditionalFormatting>
  <dataValidations count="3">
    <dataValidation type="decimal" allowBlank="1" showInputMessage="1" showErrorMessage="1" errorTitle="Invalid input" error="Enter a percentage between -100% and 100%." promptTitle="Assumption" prompt="Editable input (percentage)." sqref="G8:I10 G14:I14 G16:I20 D29 D35 D39 D46 D49 D67 D62 D69 D54:D55 D57" xr:uid="{C66B3575-E215-F140-83A7-553D0605393D}">
      <formula1>-1</formula1>
      <formula2>1</formula2>
    </dataValidation>
    <dataValidation type="decimal" allowBlank="1" showInputMessage="1" showErrorMessage="1" errorTitle="Invalid input" error="Enter a numeric value." promptTitle="Assumption" prompt="Editable input (number)." sqref="G24:I25 D26 G28:I28 D30 G36 D37 D40 D42 D47 G50:I50 D68:D69 D58:D59 D63" xr:uid="{DE2D9CA4-BF5C-AC40-B123-6B481F9687B8}">
      <formula1>-1000000000000</formula1>
      <formula2>1000000000000</formula2>
    </dataValidation>
    <dataValidation type="list" allowBlank="1" showInputMessage="1" showErrorMessage="1" sqref="D65" xr:uid="{8494F2A8-6436-B44A-B9CA-D836660514D4}">
      <formula1>$B$58:$B$59</formula1>
    </dataValidation>
  </dataValidations>
  <pageMargins left="0.75" right="0.75" top="1" bottom="1" header="0.5" footer="0.5"/>
  <pageSetup paperSize="9" orientation="portrait" horizontalDpi="0" verticalDpi="0"/>
  <ignoredErrors>
    <ignoredError sqref="D78:D79 D81" unlockedFormula="1"/>
  </ignoredError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M60"/>
  <sheetViews>
    <sheetView showGridLines="0" zoomScaleNormal="100" workbookViewId="0">
      <pane xSplit="4" ySplit="9" topLeftCell="E10" activePane="bottomRight" state="frozen"/>
      <selection pane="topRight"/>
      <selection pane="bottomLeft"/>
      <selection pane="bottomRight"/>
    </sheetView>
  </sheetViews>
  <sheetFormatPr baseColWidth="10" defaultColWidth="8.83203125" defaultRowHeight="16" outlineLevelRow="1" outlineLevelCol="1" x14ac:dyDescent="0.2"/>
  <cols>
    <col min="1" max="1" width="5" style="1" customWidth="1"/>
    <col min="2" max="2" width="75.5" style="1" customWidth="1"/>
    <col min="3" max="3" width="12" style="1" customWidth="1"/>
    <col min="4" max="4" width="5.83203125" style="1" customWidth="1"/>
    <col min="5" max="6" width="15.1640625" style="1" customWidth="1"/>
    <col min="7" max="9" width="15.1640625" style="1" customWidth="1" outlineLevel="1"/>
    <col min="10" max="10" width="3.1640625" style="1" customWidth="1"/>
    <col min="11" max="13" width="18.33203125" style="1" customWidth="1"/>
    <col min="14" max="16384" width="8.83203125" style="1"/>
  </cols>
  <sheetData>
    <row r="1" spans="1:13" ht="20" x14ac:dyDescent="0.2">
      <c r="A1" s="193" t="str">
        <f>Contents!$A1</f>
        <v>Bolt Technology OÜ|Pre-IPO Equity Valuation Model</v>
      </c>
    </row>
    <row r="2" spans="1:13" x14ac:dyDescent="0.2">
      <c r="A2" s="105" t="str">
        <f>Contents!$A2</f>
        <v>Source: Bolt Technology OÜ Consolidated Annual Report 2024-25 (AS PricewaterhouseCoopers audit)</v>
      </c>
    </row>
    <row r="3" spans="1:13" x14ac:dyDescent="0.2">
      <c r="E3" s="226">
        <f>C7</f>
        <v>45292</v>
      </c>
      <c r="F3" s="226">
        <f>EDATE(E3,12)</f>
        <v>45658</v>
      </c>
      <c r="G3" s="226">
        <f t="shared" ref="G3:I3" si="0">EDATE(F3,12)</f>
        <v>46023</v>
      </c>
      <c r="H3" s="226">
        <f t="shared" si="0"/>
        <v>46388</v>
      </c>
      <c r="I3" s="226">
        <f t="shared" si="0"/>
        <v>46753</v>
      </c>
    </row>
    <row r="4" spans="1:13" s="68" customFormat="1" x14ac:dyDescent="0.2">
      <c r="C4" s="68" t="s">
        <v>1</v>
      </c>
      <c r="E4" s="68" t="str">
        <f>YEAR(E3)&amp;IF(E5="Actual", "A", IF(E5="Estimate","E",_xleta.NA))</f>
        <v>2024A</v>
      </c>
      <c r="F4" s="68" t="str">
        <f t="shared" ref="F4:I4" si="1">YEAR(F3)&amp;IF(F5="Actual", "A", IF(F5="Estimate","E",_xleta.NA))</f>
        <v>2025A</v>
      </c>
      <c r="G4" s="68" t="str">
        <f t="shared" si="1"/>
        <v>2026E</v>
      </c>
      <c r="H4" s="68" t="str">
        <f t="shared" si="1"/>
        <v>2027E</v>
      </c>
      <c r="I4" s="68" t="str">
        <f t="shared" si="1"/>
        <v>2028E</v>
      </c>
      <c r="K4" s="68" t="s">
        <v>2</v>
      </c>
      <c r="L4" s="68" t="s">
        <v>3</v>
      </c>
      <c r="M4" s="68" t="s">
        <v>0</v>
      </c>
    </row>
    <row r="5" spans="1:13" s="68" customFormat="1" x14ac:dyDescent="0.2">
      <c r="E5" s="68" t="str">
        <f t="shared" ref="E5:I5" si="2">IF(E3&lt;$C$8, "Actual", "Estimate")</f>
        <v>Actual</v>
      </c>
      <c r="F5" s="68" t="str">
        <f t="shared" si="2"/>
        <v>Actual</v>
      </c>
      <c r="G5" s="68" t="str">
        <f t="shared" si="2"/>
        <v>Estimate</v>
      </c>
      <c r="H5" s="68" t="str">
        <f t="shared" si="2"/>
        <v>Estimate</v>
      </c>
      <c r="I5" s="68" t="str">
        <f t="shared" si="2"/>
        <v>Estimate</v>
      </c>
    </row>
    <row r="6" spans="1:13" s="13" customFormat="1" x14ac:dyDescent="0.2">
      <c r="A6" s="11"/>
      <c r="B6" s="12" t="s">
        <v>132</v>
      </c>
    </row>
    <row r="7" spans="1:13" x14ac:dyDescent="0.2">
      <c r="A7" s="85"/>
      <c r="B7" s="224" t="s">
        <v>306</v>
      </c>
      <c r="C7" s="225">
        <v>45292</v>
      </c>
    </row>
    <row r="8" spans="1:13" x14ac:dyDescent="0.2">
      <c r="A8" s="85"/>
      <c r="B8" s="224" t="s">
        <v>307</v>
      </c>
      <c r="C8" s="225">
        <v>46023</v>
      </c>
    </row>
    <row r="10" spans="1:13" s="106" customFormat="1" x14ac:dyDescent="0.2">
      <c r="A10" s="106" t="s">
        <v>126</v>
      </c>
      <c r="B10" s="107" t="s">
        <v>125</v>
      </c>
      <c r="C10" s="108"/>
      <c r="D10" s="108"/>
      <c r="E10" s="108"/>
      <c r="F10" s="108"/>
      <c r="G10" s="108"/>
      <c r="H10" s="108"/>
      <c r="I10" s="108"/>
      <c r="J10" s="108"/>
      <c r="K10" s="108"/>
      <c r="L10" s="108"/>
      <c r="M10" s="108"/>
    </row>
    <row r="11" spans="1:13" outlineLevel="1" x14ac:dyDescent="0.2">
      <c r="B11" s="2"/>
    </row>
    <row r="12" spans="1:13" outlineLevel="1" x14ac:dyDescent="0.2">
      <c r="B12" s="3" t="s">
        <v>4</v>
      </c>
      <c r="C12" s="14" t="s">
        <v>6</v>
      </c>
      <c r="D12" s="14"/>
      <c r="E12" s="15">
        <v>1633907</v>
      </c>
      <c r="F12" s="15">
        <v>1847432</v>
      </c>
      <c r="G12" s="15"/>
      <c r="H12" s="15"/>
      <c r="I12" s="15"/>
      <c r="J12" s="16"/>
      <c r="K12" s="17">
        <f t="shared" ref="K12:K28" si="3">F12-E12</f>
        <v>213525</v>
      </c>
      <c r="L12" s="18">
        <f>IF(E12=0,"N/a",K12/ABS(E12))</f>
        <v>0.13068369252350348</v>
      </c>
      <c r="M12" s="14" t="s">
        <v>5</v>
      </c>
    </row>
    <row r="13" spans="1:13" outlineLevel="1" x14ac:dyDescent="0.2">
      <c r="B13" s="3" t="s">
        <v>7</v>
      </c>
      <c r="C13" s="14" t="s">
        <v>6</v>
      </c>
      <c r="D13" s="14"/>
      <c r="E13" s="15">
        <v>185469</v>
      </c>
      <c r="F13" s="15">
        <v>240737</v>
      </c>
      <c r="G13" s="15"/>
      <c r="H13" s="15"/>
      <c r="I13" s="15"/>
      <c r="J13" s="16"/>
      <c r="K13" s="17">
        <f t="shared" si="3"/>
        <v>55268</v>
      </c>
      <c r="L13" s="18">
        <f t="shared" ref="L13:L28" si="4">IF(E13=0,"N/a",K13/ABS(E13))</f>
        <v>0.2979904997600677</v>
      </c>
      <c r="M13" s="14" t="s">
        <v>5</v>
      </c>
    </row>
    <row r="14" spans="1:13" outlineLevel="1" x14ac:dyDescent="0.2">
      <c r="B14" s="3" t="s">
        <v>8</v>
      </c>
      <c r="C14" s="14" t="s">
        <v>6</v>
      </c>
      <c r="D14" s="14"/>
      <c r="E14" s="15">
        <v>172678</v>
      </c>
      <c r="F14" s="15">
        <v>182685</v>
      </c>
      <c r="G14" s="15"/>
      <c r="H14" s="15"/>
      <c r="I14" s="15"/>
      <c r="J14" s="16"/>
      <c r="K14" s="17">
        <f t="shared" si="3"/>
        <v>10007</v>
      </c>
      <c r="L14" s="18">
        <f t="shared" si="4"/>
        <v>5.7951794669847928E-2</v>
      </c>
      <c r="M14" s="14" t="s">
        <v>5</v>
      </c>
    </row>
    <row r="15" spans="1:13" outlineLevel="1" x14ac:dyDescent="0.2">
      <c r="B15" s="4" t="s">
        <v>9</v>
      </c>
      <c r="C15" s="19" t="s">
        <v>6</v>
      </c>
      <c r="D15" s="19"/>
      <c r="E15" s="20">
        <v>1992054</v>
      </c>
      <c r="F15" s="20">
        <v>2270854</v>
      </c>
      <c r="G15" s="20"/>
      <c r="H15" s="20"/>
      <c r="I15" s="20"/>
      <c r="J15" s="16"/>
      <c r="K15" s="21">
        <f t="shared" si="3"/>
        <v>278800</v>
      </c>
      <c r="L15" s="22">
        <f t="shared" si="4"/>
        <v>0.13995604536824804</v>
      </c>
      <c r="M15" s="19" t="s">
        <v>5</v>
      </c>
    </row>
    <row r="16" spans="1:13" outlineLevel="1" x14ac:dyDescent="0.2">
      <c r="B16" s="3" t="s">
        <v>131</v>
      </c>
      <c r="C16" s="14" t="s">
        <v>6</v>
      </c>
      <c r="D16" s="14"/>
      <c r="E16" s="15">
        <v>-864477</v>
      </c>
      <c r="F16" s="15">
        <v>-831240</v>
      </c>
      <c r="G16" s="15"/>
      <c r="H16" s="15"/>
      <c r="I16" s="15"/>
      <c r="J16" s="16"/>
      <c r="K16" s="17">
        <f t="shared" si="3"/>
        <v>33237</v>
      </c>
      <c r="L16" s="18">
        <f t="shared" si="4"/>
        <v>3.8447523762922556E-2</v>
      </c>
      <c r="M16" s="14" t="s">
        <v>10</v>
      </c>
    </row>
    <row r="17" spans="1:13" outlineLevel="1" x14ac:dyDescent="0.2">
      <c r="B17" s="5" t="s">
        <v>11</v>
      </c>
      <c r="C17" s="23" t="s">
        <v>6</v>
      </c>
      <c r="D17" s="23"/>
      <c r="E17" s="20">
        <v>1127577</v>
      </c>
      <c r="F17" s="20">
        <v>1439614</v>
      </c>
      <c r="G17" s="20"/>
      <c r="H17" s="20"/>
      <c r="I17" s="20"/>
      <c r="J17" s="16"/>
      <c r="K17" s="24">
        <f t="shared" si="3"/>
        <v>312037</v>
      </c>
      <c r="L17" s="25">
        <f t="shared" si="4"/>
        <v>0.27673232071956061</v>
      </c>
      <c r="M17" s="23" t="s">
        <v>12</v>
      </c>
    </row>
    <row r="18" spans="1:13" outlineLevel="1" x14ac:dyDescent="0.2">
      <c r="B18" s="3" t="s">
        <v>17</v>
      </c>
      <c r="C18" s="14" t="s">
        <v>6</v>
      </c>
      <c r="D18" s="14"/>
      <c r="E18" s="15">
        <v>-795513</v>
      </c>
      <c r="F18" s="15">
        <v>-1048370</v>
      </c>
      <c r="G18" s="15"/>
      <c r="H18" s="15"/>
      <c r="I18" s="15"/>
      <c r="J18" s="16"/>
      <c r="K18" s="17">
        <f>F18-E18</f>
        <v>-252857</v>
      </c>
      <c r="L18" s="18">
        <f>IF(E18=0,"N/a",K18/ABS(E18))</f>
        <v>-0.31785401369933614</v>
      </c>
      <c r="M18" s="14" t="s">
        <v>18</v>
      </c>
    </row>
    <row r="19" spans="1:13" outlineLevel="1" x14ac:dyDescent="0.2">
      <c r="B19" s="3" t="s">
        <v>15</v>
      </c>
      <c r="C19" s="14" t="s">
        <v>6</v>
      </c>
      <c r="D19" s="14"/>
      <c r="E19" s="15">
        <v>-107877</v>
      </c>
      <c r="F19" s="15">
        <v>-127580</v>
      </c>
      <c r="G19" s="15"/>
      <c r="H19" s="15"/>
      <c r="I19" s="15"/>
      <c r="J19" s="16"/>
      <c r="K19" s="17">
        <f t="shared" si="3"/>
        <v>-19703</v>
      </c>
      <c r="L19" s="18">
        <f t="shared" si="4"/>
        <v>-0.18264319549116123</v>
      </c>
      <c r="M19" s="14" t="s">
        <v>16</v>
      </c>
    </row>
    <row r="20" spans="1:13" outlineLevel="1" x14ac:dyDescent="0.2">
      <c r="B20" s="3" t="s">
        <v>19</v>
      </c>
      <c r="C20" s="14" t="s">
        <v>6</v>
      </c>
      <c r="D20" s="14"/>
      <c r="E20" s="15">
        <v>-319933</v>
      </c>
      <c r="F20" s="15">
        <v>-253032</v>
      </c>
      <c r="G20" s="15"/>
      <c r="H20" s="15"/>
      <c r="I20" s="15"/>
      <c r="J20" s="16"/>
      <c r="K20" s="17">
        <f t="shared" si="3"/>
        <v>66901</v>
      </c>
      <c r="L20" s="18">
        <f t="shared" si="4"/>
        <v>0.20910940728214969</v>
      </c>
      <c r="M20" s="14" t="s">
        <v>20</v>
      </c>
    </row>
    <row r="21" spans="1:13" outlineLevel="1" x14ac:dyDescent="0.2">
      <c r="B21" s="3" t="s">
        <v>21</v>
      </c>
      <c r="C21" s="14" t="s">
        <v>6</v>
      </c>
      <c r="D21" s="26"/>
      <c r="E21" s="15">
        <v>-8913</v>
      </c>
      <c r="F21" s="15">
        <v>-13131</v>
      </c>
      <c r="G21" s="15"/>
      <c r="H21" s="15"/>
      <c r="I21" s="15"/>
      <c r="J21" s="16"/>
      <c r="K21" s="17">
        <f t="shared" si="3"/>
        <v>-4218</v>
      </c>
      <c r="L21" s="18">
        <f t="shared" si="4"/>
        <v>-0.47324133288455067</v>
      </c>
      <c r="M21" s="14" t="s">
        <v>22</v>
      </c>
    </row>
    <row r="22" spans="1:13" outlineLevel="1" x14ac:dyDescent="0.2">
      <c r="B22" s="3" t="s">
        <v>13</v>
      </c>
      <c r="C22" s="14" t="s">
        <v>6</v>
      </c>
      <c r="D22" s="26"/>
      <c r="E22" s="15">
        <v>16924</v>
      </c>
      <c r="F22" s="15">
        <v>21953</v>
      </c>
      <c r="G22" s="15"/>
      <c r="H22" s="15"/>
      <c r="I22" s="15"/>
      <c r="J22" s="16"/>
      <c r="K22" s="17">
        <f>F22-E22</f>
        <v>5029</v>
      </c>
      <c r="L22" s="18">
        <f>IF(E22=0,"N/a",K22/ABS(E22))</f>
        <v>0.29715197352871664</v>
      </c>
      <c r="M22" s="14" t="s">
        <v>14</v>
      </c>
    </row>
    <row r="23" spans="1:13" outlineLevel="1" x14ac:dyDescent="0.2">
      <c r="B23" s="4" t="s">
        <v>23</v>
      </c>
      <c r="C23" s="19" t="s">
        <v>6</v>
      </c>
      <c r="D23" s="19"/>
      <c r="E23" s="20">
        <v>-87735</v>
      </c>
      <c r="F23" s="20">
        <v>19454</v>
      </c>
      <c r="G23" s="20"/>
      <c r="H23" s="20"/>
      <c r="I23" s="20"/>
      <c r="J23" s="16"/>
      <c r="K23" s="21">
        <f t="shared" si="3"/>
        <v>107189</v>
      </c>
      <c r="L23" s="22">
        <f t="shared" si="4"/>
        <v>1.2217359092722402</v>
      </c>
      <c r="M23" s="19" t="s">
        <v>12</v>
      </c>
    </row>
    <row r="24" spans="1:13" outlineLevel="1" x14ac:dyDescent="0.2">
      <c r="B24" s="3" t="s">
        <v>24</v>
      </c>
      <c r="C24" s="14" t="s">
        <v>6</v>
      </c>
      <c r="D24" s="14"/>
      <c r="E24" s="15">
        <v>1686</v>
      </c>
      <c r="F24" s="15">
        <v>-1291</v>
      </c>
      <c r="G24" s="15"/>
      <c r="H24" s="15"/>
      <c r="I24" s="15"/>
      <c r="J24" s="16"/>
      <c r="K24" s="17">
        <f t="shared" si="3"/>
        <v>-2977</v>
      </c>
      <c r="L24" s="18">
        <f t="shared" si="4"/>
        <v>-1.765717674970344</v>
      </c>
      <c r="M24" s="14" t="s">
        <v>25</v>
      </c>
    </row>
    <row r="25" spans="1:13" outlineLevel="1" x14ac:dyDescent="0.2">
      <c r="B25" s="3" t="s">
        <v>26</v>
      </c>
      <c r="C25" s="14" t="s">
        <v>6</v>
      </c>
      <c r="D25" s="14"/>
      <c r="E25" s="15">
        <v>-1951</v>
      </c>
      <c r="F25" s="15">
        <v>-3882</v>
      </c>
      <c r="G25" s="15"/>
      <c r="H25" s="15"/>
      <c r="I25" s="15"/>
      <c r="J25" s="16"/>
      <c r="K25" s="17">
        <f t="shared" si="3"/>
        <v>-1931</v>
      </c>
      <c r="L25" s="18">
        <f t="shared" si="4"/>
        <v>-0.98974884674525887</v>
      </c>
      <c r="M25" s="14" t="s">
        <v>27</v>
      </c>
    </row>
    <row r="26" spans="1:13" s="51" customFormat="1" outlineLevel="1" x14ac:dyDescent="0.2">
      <c r="B26" s="5" t="s">
        <v>28</v>
      </c>
      <c r="C26" s="23" t="s">
        <v>6</v>
      </c>
      <c r="D26" s="23"/>
      <c r="E26" s="20">
        <v>-88000</v>
      </c>
      <c r="F26" s="20">
        <v>14281</v>
      </c>
      <c r="G26" s="20"/>
      <c r="H26" s="20"/>
      <c r="I26" s="20"/>
      <c r="J26" s="16"/>
      <c r="K26" s="24">
        <f t="shared" si="3"/>
        <v>102281</v>
      </c>
      <c r="L26" s="25">
        <f t="shared" si="4"/>
        <v>1.162284090909091</v>
      </c>
      <c r="M26" s="23" t="s">
        <v>12</v>
      </c>
    </row>
    <row r="27" spans="1:13" outlineLevel="1" x14ac:dyDescent="0.2">
      <c r="B27" s="3" t="s">
        <v>29</v>
      </c>
      <c r="C27" s="14" t="s">
        <v>6</v>
      </c>
      <c r="D27" s="14"/>
      <c r="E27" s="15">
        <v>-14594</v>
      </c>
      <c r="F27" s="15">
        <v>-13361</v>
      </c>
      <c r="G27" s="15"/>
      <c r="H27" s="15"/>
      <c r="I27" s="15"/>
      <c r="J27" s="16"/>
      <c r="K27" s="17">
        <f t="shared" si="3"/>
        <v>1233</v>
      </c>
      <c r="L27" s="18">
        <f t="shared" si="4"/>
        <v>8.4486775387145399E-2</v>
      </c>
      <c r="M27" s="14" t="s">
        <v>30</v>
      </c>
    </row>
    <row r="28" spans="1:13" ht="17" outlineLevel="1" thickBot="1" x14ac:dyDescent="0.25">
      <c r="B28" s="6" t="s">
        <v>31</v>
      </c>
      <c r="C28" s="27" t="s">
        <v>6</v>
      </c>
      <c r="D28" s="27"/>
      <c r="E28" s="28">
        <v>-102594</v>
      </c>
      <c r="F28" s="28">
        <v>920</v>
      </c>
      <c r="G28" s="28"/>
      <c r="H28" s="28"/>
      <c r="I28" s="28"/>
      <c r="J28" s="16"/>
      <c r="K28" s="29">
        <f t="shared" si="3"/>
        <v>103514</v>
      </c>
      <c r="L28" s="30">
        <f t="shared" si="4"/>
        <v>1.008967386006979</v>
      </c>
      <c r="M28" s="27" t="s">
        <v>12</v>
      </c>
    </row>
    <row r="29" spans="1:13" ht="17" thickTop="1" x14ac:dyDescent="0.2">
      <c r="F29" s="31"/>
      <c r="G29" s="31"/>
      <c r="H29" s="31"/>
      <c r="I29" s="31"/>
      <c r="J29" s="32"/>
    </row>
    <row r="30" spans="1:13" s="94" customFormat="1" x14ac:dyDescent="0.2">
      <c r="A30" s="94" t="s">
        <v>126</v>
      </c>
      <c r="B30" s="107" t="s">
        <v>32</v>
      </c>
      <c r="K30" s="95"/>
    </row>
    <row r="31" spans="1:13" outlineLevel="1" x14ac:dyDescent="0.2">
      <c r="B31" s="2"/>
    </row>
    <row r="32" spans="1:13" outlineLevel="1" x14ac:dyDescent="0.2">
      <c r="B32" s="3" t="s">
        <v>33</v>
      </c>
      <c r="C32" s="14" t="s">
        <v>6</v>
      </c>
      <c r="D32" s="14"/>
      <c r="E32" s="15">
        <v>342247</v>
      </c>
      <c r="F32" s="15">
        <v>357038</v>
      </c>
      <c r="G32" s="15"/>
      <c r="H32" s="15"/>
      <c r="I32" s="15"/>
      <c r="J32" s="16"/>
      <c r="K32" s="17">
        <f t="shared" ref="K32:K51" si="5">F32-E32</f>
        <v>14791</v>
      </c>
      <c r="L32" s="18">
        <f t="shared" ref="L32:L46" si="6">IF(E32=0,"N/a",K32/ABS(E32))</f>
        <v>4.3217325498835633E-2</v>
      </c>
      <c r="M32" s="14" t="s">
        <v>34</v>
      </c>
    </row>
    <row r="33" spans="1:13" outlineLevel="1" x14ac:dyDescent="0.2">
      <c r="B33" s="3" t="s">
        <v>134</v>
      </c>
      <c r="C33" s="14" t="s">
        <v>6</v>
      </c>
      <c r="D33" s="14"/>
      <c r="E33" s="15">
        <v>100732</v>
      </c>
      <c r="F33" s="15">
        <v>127467</v>
      </c>
      <c r="G33" s="15"/>
      <c r="H33" s="15"/>
      <c r="I33" s="15"/>
      <c r="J33" s="16"/>
      <c r="K33" s="17">
        <f t="shared" ref="K33" si="7">F33-E33</f>
        <v>26735</v>
      </c>
      <c r="L33" s="18">
        <f t="shared" si="6"/>
        <v>0.26540721915577969</v>
      </c>
      <c r="M33" s="14" t="s">
        <v>133</v>
      </c>
    </row>
    <row r="34" spans="1:13" outlineLevel="1" x14ac:dyDescent="0.2">
      <c r="B34" s="3" t="s">
        <v>141</v>
      </c>
      <c r="C34" s="14" t="s">
        <v>6</v>
      </c>
      <c r="D34" s="14"/>
      <c r="E34" s="17">
        <f>E35-SUM(E32:E33)</f>
        <v>14105</v>
      </c>
      <c r="F34" s="17">
        <f>F35-SUM(F32:F33)</f>
        <v>16675</v>
      </c>
      <c r="G34" s="17">
        <f>G35-SUM(G32:G33)</f>
        <v>0</v>
      </c>
      <c r="H34" s="17">
        <f>H35-SUM(H32:H33)</f>
        <v>0</v>
      </c>
      <c r="I34" s="17">
        <f>I35-SUM(I32:I33)</f>
        <v>0</v>
      </c>
      <c r="J34" s="33"/>
      <c r="K34" s="17">
        <f t="shared" ref="K34" si="8">F34-E34</f>
        <v>2570</v>
      </c>
      <c r="L34" s="18">
        <f t="shared" si="6"/>
        <v>0.18220489188231123</v>
      </c>
      <c r="M34" s="14"/>
    </row>
    <row r="35" spans="1:13" outlineLevel="1" x14ac:dyDescent="0.2">
      <c r="B35" s="4" t="s">
        <v>35</v>
      </c>
      <c r="C35" s="19" t="s">
        <v>6</v>
      </c>
      <c r="D35" s="19"/>
      <c r="E35" s="20">
        <v>457084</v>
      </c>
      <c r="F35" s="20">
        <v>501180</v>
      </c>
      <c r="G35" s="20"/>
      <c r="H35" s="20"/>
      <c r="I35" s="20"/>
      <c r="J35" s="16"/>
      <c r="K35" s="21">
        <f t="shared" si="5"/>
        <v>44096</v>
      </c>
      <c r="L35" s="22">
        <f t="shared" si="6"/>
        <v>9.6472420824181115E-2</v>
      </c>
      <c r="M35" s="19" t="s">
        <v>36</v>
      </c>
    </row>
    <row r="36" spans="1:13" outlineLevel="1" x14ac:dyDescent="0.2">
      <c r="B36" s="3" t="s">
        <v>186</v>
      </c>
      <c r="C36" s="14" t="s">
        <v>6</v>
      </c>
      <c r="D36" s="14"/>
      <c r="E36" s="34">
        <v>189638</v>
      </c>
      <c r="F36" s="34">
        <v>180405</v>
      </c>
      <c r="G36" s="15"/>
      <c r="H36" s="15"/>
      <c r="I36" s="15"/>
      <c r="J36" s="16"/>
      <c r="K36" s="17">
        <f t="shared" si="5"/>
        <v>-9233</v>
      </c>
      <c r="L36" s="18">
        <f t="shared" si="6"/>
        <v>-4.8687499340849406E-2</v>
      </c>
      <c r="M36" s="14" t="s">
        <v>183</v>
      </c>
    </row>
    <row r="37" spans="1:13" outlineLevel="1" x14ac:dyDescent="0.2">
      <c r="B37" s="3" t="s">
        <v>184</v>
      </c>
      <c r="C37" s="14" t="s">
        <v>6</v>
      </c>
      <c r="D37" s="14"/>
      <c r="E37" s="17">
        <f>E38-E36</f>
        <v>134298</v>
      </c>
      <c r="F37" s="17">
        <f>F38-F36</f>
        <v>150910</v>
      </c>
      <c r="G37" s="17">
        <f t="shared" ref="G37:I37" si="9">G38-G36</f>
        <v>0</v>
      </c>
      <c r="H37" s="17">
        <f t="shared" si="9"/>
        <v>0</v>
      </c>
      <c r="I37" s="17">
        <f t="shared" si="9"/>
        <v>0</v>
      </c>
      <c r="J37" s="33"/>
      <c r="K37" s="17">
        <f t="shared" si="5"/>
        <v>16612</v>
      </c>
      <c r="L37" s="18">
        <f t="shared" si="6"/>
        <v>0.12369506619607143</v>
      </c>
      <c r="M37" s="14"/>
    </row>
    <row r="38" spans="1:13" outlineLevel="1" x14ac:dyDescent="0.2">
      <c r="B38" s="7" t="s">
        <v>185</v>
      </c>
      <c r="C38" s="35" t="s">
        <v>6</v>
      </c>
      <c r="D38" s="35"/>
      <c r="E38" s="36">
        <v>323936</v>
      </c>
      <c r="F38" s="36">
        <v>331315</v>
      </c>
      <c r="G38" s="20"/>
      <c r="H38" s="20"/>
      <c r="I38" s="20"/>
      <c r="J38" s="16"/>
      <c r="K38" s="37">
        <f>F38-E38</f>
        <v>7379</v>
      </c>
      <c r="L38" s="38">
        <f t="shared" si="6"/>
        <v>2.2779190951299023E-2</v>
      </c>
      <c r="M38" s="35" t="s">
        <v>36</v>
      </c>
    </row>
    <row r="39" spans="1:13" ht="17" outlineLevel="1" thickBot="1" x14ac:dyDescent="0.25">
      <c r="B39" s="8" t="s">
        <v>37</v>
      </c>
      <c r="C39" s="39" t="s">
        <v>6</v>
      </c>
      <c r="D39" s="39"/>
      <c r="E39" s="28">
        <v>781020</v>
      </c>
      <c r="F39" s="28">
        <v>832495</v>
      </c>
      <c r="G39" s="40"/>
      <c r="H39" s="40"/>
      <c r="I39" s="40"/>
      <c r="J39" s="16"/>
      <c r="K39" s="41">
        <f t="shared" si="5"/>
        <v>51475</v>
      </c>
      <c r="L39" s="42">
        <f t="shared" si="6"/>
        <v>6.5907403139484261E-2</v>
      </c>
      <c r="M39" s="39" t="s">
        <v>36</v>
      </c>
    </row>
    <row r="40" spans="1:13" ht="17" outlineLevel="1" thickTop="1" x14ac:dyDescent="0.2">
      <c r="B40" s="3" t="s">
        <v>89</v>
      </c>
      <c r="C40" s="14" t="s">
        <v>6</v>
      </c>
      <c r="D40" s="14"/>
      <c r="E40" s="15">
        <v>136657</v>
      </c>
      <c r="F40" s="15">
        <v>188970</v>
      </c>
      <c r="G40" s="15"/>
      <c r="H40" s="15"/>
      <c r="I40" s="15"/>
      <c r="J40" s="16"/>
      <c r="K40" s="17">
        <f t="shared" ref="K40" si="10">F40-E40</f>
        <v>52313</v>
      </c>
      <c r="L40" s="18">
        <f t="shared" si="6"/>
        <v>0.38280512524056581</v>
      </c>
      <c r="M40" s="14" t="s">
        <v>135</v>
      </c>
    </row>
    <row r="41" spans="1:13" outlineLevel="1" x14ac:dyDescent="0.2">
      <c r="B41" s="3" t="s">
        <v>38</v>
      </c>
      <c r="C41" s="14" t="s">
        <v>6</v>
      </c>
      <c r="D41" s="14"/>
      <c r="E41" s="15">
        <v>138498</v>
      </c>
      <c r="F41" s="15">
        <v>527</v>
      </c>
      <c r="G41" s="15"/>
      <c r="H41" s="15"/>
      <c r="I41" s="15"/>
      <c r="J41" s="16"/>
      <c r="K41" s="17">
        <f t="shared" si="5"/>
        <v>-137971</v>
      </c>
      <c r="L41" s="18">
        <f t="shared" si="6"/>
        <v>-0.99619489090095159</v>
      </c>
      <c r="M41" s="14" t="s">
        <v>39</v>
      </c>
    </row>
    <row r="42" spans="1:13" outlineLevel="1" x14ac:dyDescent="0.2">
      <c r="B42" s="3" t="s">
        <v>192</v>
      </c>
      <c r="C42" s="14" t="s">
        <v>6</v>
      </c>
      <c r="D42" s="14"/>
      <c r="E42" s="15">
        <v>98876</v>
      </c>
      <c r="F42" s="15">
        <v>107037</v>
      </c>
      <c r="G42" s="15"/>
      <c r="H42" s="15"/>
      <c r="I42" s="15"/>
      <c r="J42" s="16"/>
      <c r="K42" s="17">
        <f t="shared" si="5"/>
        <v>8161</v>
      </c>
      <c r="L42" s="18">
        <f t="shared" si="6"/>
        <v>8.2537724017961889E-2</v>
      </c>
      <c r="M42" s="14" t="s">
        <v>40</v>
      </c>
    </row>
    <row r="43" spans="1:13" outlineLevel="1" x14ac:dyDescent="0.2">
      <c r="B43" s="3" t="s">
        <v>193</v>
      </c>
      <c r="C43" s="14" t="s">
        <v>6</v>
      </c>
      <c r="D43" s="14"/>
      <c r="E43" s="15">
        <v>185296</v>
      </c>
      <c r="F43" s="15">
        <v>155073</v>
      </c>
      <c r="G43" s="15"/>
      <c r="H43" s="15"/>
      <c r="I43" s="15"/>
      <c r="J43" s="16"/>
      <c r="K43" s="17">
        <f t="shared" si="5"/>
        <v>-30223</v>
      </c>
      <c r="L43" s="18">
        <f t="shared" si="6"/>
        <v>-0.16310659701234781</v>
      </c>
      <c r="M43" s="14" t="s">
        <v>41</v>
      </c>
    </row>
    <row r="44" spans="1:13" outlineLevel="1" x14ac:dyDescent="0.2">
      <c r="B44" s="3" t="s">
        <v>142</v>
      </c>
      <c r="C44" s="14" t="s">
        <v>6</v>
      </c>
      <c r="D44" s="14"/>
      <c r="E44" s="17">
        <f>E45-SUM(E40:E43)</f>
        <v>20454</v>
      </c>
      <c r="F44" s="17">
        <f>F45-SUM(F40:F43)</f>
        <v>20904</v>
      </c>
      <c r="G44" s="17">
        <f t="shared" ref="G44:I44" si="11">G45-SUM(G40:G43)</f>
        <v>0</v>
      </c>
      <c r="H44" s="17">
        <f t="shared" si="11"/>
        <v>0</v>
      </c>
      <c r="I44" s="17">
        <f t="shared" si="11"/>
        <v>0</v>
      </c>
      <c r="J44" s="33"/>
      <c r="K44" s="17">
        <f t="shared" ref="K44" si="12">F44-E44</f>
        <v>450</v>
      </c>
      <c r="L44" s="18">
        <f t="shared" si="6"/>
        <v>2.2000586682311529E-2</v>
      </c>
      <c r="M44" s="14"/>
    </row>
    <row r="45" spans="1:13" outlineLevel="1" x14ac:dyDescent="0.2">
      <c r="B45" s="4" t="s">
        <v>42</v>
      </c>
      <c r="C45" s="19" t="s">
        <v>6</v>
      </c>
      <c r="D45" s="19"/>
      <c r="E45" s="36">
        <v>579781</v>
      </c>
      <c r="F45" s="36">
        <v>472511</v>
      </c>
      <c r="G45" s="20"/>
      <c r="H45" s="20"/>
      <c r="I45" s="20"/>
      <c r="J45" s="16"/>
      <c r="K45" s="21">
        <f t="shared" si="5"/>
        <v>-107270</v>
      </c>
      <c r="L45" s="22">
        <f t="shared" si="6"/>
        <v>-0.18501813615830806</v>
      </c>
      <c r="M45" s="19" t="s">
        <v>36</v>
      </c>
    </row>
    <row r="46" spans="1:13" ht="17" outlineLevel="1" thickBot="1" x14ac:dyDescent="0.25">
      <c r="B46" s="6" t="s">
        <v>43</v>
      </c>
      <c r="C46" s="27" t="s">
        <v>6</v>
      </c>
      <c r="D46" s="27"/>
      <c r="E46" s="28">
        <v>201239</v>
      </c>
      <c r="F46" s="28">
        <v>359984</v>
      </c>
      <c r="G46" s="28"/>
      <c r="H46" s="28"/>
      <c r="I46" s="28"/>
      <c r="J46" s="16"/>
      <c r="K46" s="29">
        <f t="shared" si="5"/>
        <v>158745</v>
      </c>
      <c r="L46" s="30">
        <f t="shared" si="6"/>
        <v>0.78883814767515248</v>
      </c>
      <c r="M46" s="27" t="s">
        <v>36</v>
      </c>
    </row>
    <row r="47" spans="1:13" s="85" customFormat="1" ht="17" outlineLevel="1" thickTop="1" x14ac:dyDescent="0.2">
      <c r="A47" s="85" t="str">
        <f>IF(SUM(E47:I47)&lt;&gt;0,"Error","OK")</f>
        <v>OK</v>
      </c>
      <c r="B47" s="9" t="s">
        <v>208</v>
      </c>
      <c r="C47" s="43" t="s">
        <v>158</v>
      </c>
      <c r="D47" s="43"/>
      <c r="E47" s="44">
        <f>E39-(E45+E46)</f>
        <v>0</v>
      </c>
      <c r="F47" s="44">
        <f>F39-(F45+F46)</f>
        <v>0</v>
      </c>
      <c r="G47" s="44">
        <f>G39-(G45+G46)</f>
        <v>0</v>
      </c>
      <c r="H47" s="44">
        <f>H39-(H45+H46)</f>
        <v>0</v>
      </c>
      <c r="I47" s="44">
        <f>I39-(I45+I46)</f>
        <v>0</v>
      </c>
      <c r="J47" s="45"/>
      <c r="K47" s="43"/>
      <c r="L47" s="46"/>
      <c r="M47" s="43"/>
    </row>
    <row r="48" spans="1:13" outlineLevel="1" x14ac:dyDescent="0.2">
      <c r="B48" s="10"/>
      <c r="C48" s="47"/>
      <c r="D48" s="47"/>
      <c r="E48" s="47"/>
      <c r="F48" s="47"/>
      <c r="G48" s="47"/>
      <c r="H48" s="47"/>
      <c r="I48" s="47"/>
      <c r="J48" s="47"/>
      <c r="K48" s="47"/>
      <c r="L48" s="48"/>
      <c r="M48" s="47"/>
    </row>
    <row r="49" spans="1:13" outlineLevel="1" x14ac:dyDescent="0.2">
      <c r="B49" s="3" t="s">
        <v>44</v>
      </c>
      <c r="C49" s="14" t="s">
        <v>46</v>
      </c>
      <c r="D49" s="14"/>
      <c r="E49" s="15">
        <v>28823</v>
      </c>
      <c r="F49" s="15">
        <v>28823</v>
      </c>
      <c r="G49" s="15"/>
      <c r="H49" s="15"/>
      <c r="I49" s="15"/>
      <c r="J49" s="16"/>
      <c r="K49" s="17">
        <f t="shared" si="5"/>
        <v>0</v>
      </c>
      <c r="L49" s="18">
        <f t="shared" ref="L49:L51" si="13">IF(E49=0,"N/a",K49/ABS(E49))</f>
        <v>0</v>
      </c>
      <c r="M49" s="14" t="s">
        <v>45</v>
      </c>
    </row>
    <row r="50" spans="1:13" outlineLevel="1" x14ac:dyDescent="0.2">
      <c r="B50" s="3" t="s">
        <v>47</v>
      </c>
      <c r="C50" s="14" t="s">
        <v>46</v>
      </c>
      <c r="D50" s="14"/>
      <c r="E50" s="15">
        <v>0</v>
      </c>
      <c r="F50" s="15">
        <v>2400</v>
      </c>
      <c r="G50" s="15"/>
      <c r="H50" s="15"/>
      <c r="I50" s="15"/>
      <c r="J50" s="16"/>
      <c r="K50" s="17">
        <f t="shared" si="5"/>
        <v>2400</v>
      </c>
      <c r="L50" s="18" t="str">
        <f t="shared" si="13"/>
        <v>N/a</v>
      </c>
      <c r="M50" s="14" t="s">
        <v>45</v>
      </c>
    </row>
    <row r="51" spans="1:13" ht="17" outlineLevel="1" thickBot="1" x14ac:dyDescent="0.25">
      <c r="B51" s="6" t="s">
        <v>48</v>
      </c>
      <c r="C51" s="27" t="s">
        <v>46</v>
      </c>
      <c r="D51" s="27"/>
      <c r="E51" s="28">
        <v>28823</v>
      </c>
      <c r="F51" s="28">
        <v>31223</v>
      </c>
      <c r="G51" s="28"/>
      <c r="H51" s="28"/>
      <c r="I51" s="28"/>
      <c r="J51" s="16"/>
      <c r="K51" s="29">
        <f t="shared" si="5"/>
        <v>2400</v>
      </c>
      <c r="L51" s="30">
        <f t="shared" si="13"/>
        <v>8.326683551330534E-2</v>
      </c>
      <c r="M51" s="27" t="s">
        <v>45</v>
      </c>
    </row>
    <row r="52" spans="1:13" ht="17" thickTop="1" x14ac:dyDescent="0.2"/>
    <row r="53" spans="1:13" s="94" customFormat="1" x14ac:dyDescent="0.2">
      <c r="A53" s="94" t="s">
        <v>126</v>
      </c>
      <c r="B53" s="107" t="s">
        <v>49</v>
      </c>
      <c r="K53" s="95"/>
    </row>
    <row r="54" spans="1:13" outlineLevel="1" x14ac:dyDescent="0.2">
      <c r="B54" s="52"/>
      <c r="K54" s="49"/>
    </row>
    <row r="55" spans="1:13" outlineLevel="1" x14ac:dyDescent="0.2">
      <c r="B55" s="3" t="s">
        <v>50</v>
      </c>
      <c r="C55" s="14" t="s">
        <v>6</v>
      </c>
      <c r="D55" s="14"/>
      <c r="E55" s="15">
        <v>53126</v>
      </c>
      <c r="F55" s="15">
        <v>77000</v>
      </c>
      <c r="G55" s="15"/>
      <c r="H55" s="15"/>
      <c r="I55" s="15"/>
      <c r="J55" s="16"/>
      <c r="K55" s="17">
        <f>F55-E55</f>
        <v>23874</v>
      </c>
      <c r="L55" s="18">
        <f t="shared" ref="L55:L58" si="14">IF(E55=0,"N/a",K55/ABS(E55))</f>
        <v>0.4493844821744532</v>
      </c>
      <c r="M55" s="14" t="s">
        <v>51</v>
      </c>
    </row>
    <row r="56" spans="1:13" outlineLevel="1" x14ac:dyDescent="0.2">
      <c r="B56" s="3" t="s">
        <v>52</v>
      </c>
      <c r="C56" s="14" t="s">
        <v>6</v>
      </c>
      <c r="D56" s="14"/>
      <c r="E56" s="15">
        <v>57437</v>
      </c>
      <c r="F56" s="15">
        <v>57218</v>
      </c>
      <c r="G56" s="34"/>
      <c r="H56" s="34"/>
      <c r="I56" s="34"/>
      <c r="J56" s="50"/>
      <c r="K56" s="17">
        <f>F56-E56</f>
        <v>-219</v>
      </c>
      <c r="L56" s="18">
        <f t="shared" si="14"/>
        <v>-3.8128732350227205E-3</v>
      </c>
      <c r="M56" s="14" t="s">
        <v>51</v>
      </c>
    </row>
    <row r="57" spans="1:13" outlineLevel="1" x14ac:dyDescent="0.2">
      <c r="B57" s="3" t="s">
        <v>129</v>
      </c>
      <c r="C57" s="14" t="s">
        <v>6</v>
      </c>
      <c r="D57" s="14"/>
      <c r="E57" s="15">
        <v>-24860</v>
      </c>
      <c r="F57" s="15">
        <v>-49348</v>
      </c>
      <c r="G57" s="15"/>
      <c r="H57" s="15"/>
      <c r="I57" s="15"/>
      <c r="J57" s="16"/>
      <c r="K57" s="17">
        <f>F57-E57</f>
        <v>-24488</v>
      </c>
      <c r="L57" s="18">
        <f t="shared" si="14"/>
        <v>-0.98503620273531778</v>
      </c>
      <c r="M57" s="14" t="s">
        <v>53</v>
      </c>
    </row>
    <row r="58" spans="1:13" outlineLevel="1" x14ac:dyDescent="0.2">
      <c r="B58" s="3" t="s">
        <v>54</v>
      </c>
      <c r="C58" s="14" t="s">
        <v>6</v>
      </c>
      <c r="D58" s="14"/>
      <c r="E58" s="15">
        <v>220000</v>
      </c>
      <c r="F58" s="15">
        <v>220000</v>
      </c>
      <c r="G58" s="15"/>
      <c r="H58" s="15"/>
      <c r="I58" s="15"/>
      <c r="J58" s="16"/>
      <c r="K58" s="17">
        <f>F58-E58</f>
        <v>0</v>
      </c>
      <c r="L58" s="18">
        <f t="shared" si="14"/>
        <v>0</v>
      </c>
      <c r="M58" s="14" t="s">
        <v>55</v>
      </c>
    </row>
    <row r="60" spans="1:13" s="94" customFormat="1" ht="16" customHeight="1" x14ac:dyDescent="0.2">
      <c r="A60" s="88" t="s">
        <v>126</v>
      </c>
      <c r="B60" s="109" t="s">
        <v>118</v>
      </c>
      <c r="C60" s="109"/>
    </row>
  </sheetData>
  <sheetProtection formatColumns="0" formatRows="0" sort="0" autoFilter="0"/>
  <conditionalFormatting sqref="A47">
    <cfRule type="containsText" dxfId="7" priority="1" operator="containsText" text="Error">
      <formula>NOT(ISERROR(SEARCH("Error",A47)))</formula>
    </cfRule>
  </conditionalFormatting>
  <conditionalFormatting sqref="G12:J28">
    <cfRule type="expression" dxfId="6" priority="9">
      <formula>RIGHT(G$4, 1)="E"</formula>
    </cfRule>
  </conditionalFormatting>
  <conditionalFormatting sqref="G32:J33">
    <cfRule type="expression" dxfId="5" priority="7">
      <formula>RIGHT(G$4, 1)="E"</formula>
    </cfRule>
  </conditionalFormatting>
  <conditionalFormatting sqref="G35:J36">
    <cfRule type="expression" dxfId="4" priority="6">
      <formula>RIGHT(G$4, 1)="E"</formula>
    </cfRule>
  </conditionalFormatting>
  <conditionalFormatting sqref="G38:J43">
    <cfRule type="expression" dxfId="3" priority="5">
      <formula>RIGHT(G$4, 1)="E"</formula>
    </cfRule>
  </conditionalFormatting>
  <conditionalFormatting sqref="G45:J46">
    <cfRule type="expression" dxfId="2" priority="4">
      <formula>RIGHT(G$4, 1)="E"</formula>
    </cfRule>
  </conditionalFormatting>
  <conditionalFormatting sqref="G49:J51">
    <cfRule type="expression" dxfId="1" priority="3">
      <formula>RIGHT(G$4, 1)="E"</formula>
    </cfRule>
  </conditionalFormatting>
  <conditionalFormatting sqref="G55:J58">
    <cfRule type="expression" dxfId="0" priority="2">
      <formula>RIGHT(G$4, 1)="E"</formula>
    </cfRule>
  </conditionalFormatting>
  <hyperlinks>
    <hyperlink ref="B6" r:id="rId1" location=":~:text=General%20data%20info.%20gavel.%20Business%20name%20Bolt,open_in_new.%20Rental%20of%20other%20machines%20(77399)%20open_in_new." display="Historical Financial Statement" xr:uid="{5E0540E3-CCF6-DF4F-9220-C0E2F66125F2}"/>
  </hyperlinks>
  <pageMargins left="0.75" right="0.75" top="1" bottom="1" header="0.5" footer="0.5"/>
  <pageSetup paperSize="9" orientation="portrait" horizontalDpi="0" verticalDpi="0"/>
  <ignoredErrors>
    <ignoredError sqref="E44:F44"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Contents</vt:lpstr>
      <vt:lpstr>How To</vt:lpstr>
      <vt:lpstr>Output&gt;&gt;</vt:lpstr>
      <vt:lpstr>o_Dashboard</vt:lpstr>
      <vt:lpstr>o_Valuation</vt:lpstr>
      <vt:lpstr>o_FS</vt:lpstr>
      <vt:lpstr>Calcs&gt;&gt;</vt:lpstr>
      <vt:lpstr>c_FS</vt:lpstr>
      <vt:lpstr>Input&gt;&gt;</vt:lpstr>
      <vt:lpstr>i_Scenario_Manager</vt:lpstr>
      <vt:lpstr>i_Inputs</vt:lpstr>
      <vt:lpstr>i_Historical</vt:lpstr>
      <vt:lpstr>o_Dashboard!Print_Area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Sara Shan</cp:lastModifiedBy>
  <cp:lastPrinted>2026-09-11T20:18:41Z</cp:lastPrinted>
  <dcterms:created xsi:type="dcterms:W3CDTF">2026-09-07T20:29:20Z</dcterms:created>
  <dcterms:modified xsi:type="dcterms:W3CDTF">2026-10-03T11:47:46Z</dcterms:modified>
  <cp:category/>
</cp:coreProperties>
</file>